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-105" yWindow="-105" windowWidth="20730" windowHeight="11760" activeTab="1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1" hidden="1">Sheet2!$B$1:$B$12</definedName>
    <definedName name="Address">Sheet2!$C$2:$C$289</definedName>
    <definedName name="Age">Sheet2!$D$2:$D$289</definedName>
    <definedName name="ALIMCO">OFFSET(Sheet5!$D$2,,,MAX(Table6[Working]))</definedName>
    <definedName name="alimcofin">OFFSET(Sheet1!$D$2,,,COUNTIF(Sheet1!$D:$D,"*?")-1)</definedName>
    <definedName name="Beneficiary_Name">Sheet2!$A$2:$A$289</definedName>
    <definedName name="Caste">Sheet2!$I$2:$I$289</definedName>
    <definedName name="data">Sheet1!#REF!</definedName>
    <definedName name="DOA">Sheet2!$H$2:$H$289</definedName>
    <definedName name="DropDownList">Sheet2!$D$1:INDEX(Sheet2!$D$1:$D$6,MAX(Sheet2!$C$1:$C$6),1)</definedName>
    <definedName name="Dropown">OFFSET(Sheet4!#REF!,,,MAX(Sheet4!XFA1:XFA80))</definedName>
    <definedName name="_xlnm.Extract" localSheetId="1">Sheet2!$T$17</definedName>
    <definedName name="Father_Husband_Name">Sheet2!$B$2:$B$289</definedName>
    <definedName name="Gender">Sheet2!$E$2:$E$289</definedName>
    <definedName name="main">Table1[#All]</definedName>
    <definedName name="master">Table1[#All]</definedName>
    <definedName name="Net_Amount">Sheet2!$P$2:$P$5</definedName>
    <definedName name="NOB_Product_Wise">Sheet2!$K$2:$K$289</definedName>
    <definedName name="Percentage_of__disability">Sheet2!$G$2:$G$289</definedName>
    <definedName name="product">OFFSET(Sheet2!$X$2,,,COUNTIF(Sheet2!$X:$X,"*?")-1)</definedName>
    <definedName name="Product_Code">Sheet2!$L$2:$L$289</definedName>
    <definedName name="Product_Name">Sheet2!$J$2:$J$5</definedName>
    <definedName name="QTY">Sheet2!$M$2:$M$289</definedName>
    <definedName name="Qty_NOA">Sheet2!$M$2:$M$5</definedName>
    <definedName name="Rate_FAB">Sheet2!$O$2:$O$5</definedName>
    <definedName name="Rate_RTU">Sheet2!$N$2:$N$5</definedName>
    <definedName name="rtu">Table1[#All]</definedName>
    <definedName name="table2">#REF!</definedName>
    <definedName name="table3">#REF!</definedName>
    <definedName name="Type_of_Disability">Sheet2!$F$2:$F$289</definedName>
  </definedNames>
  <calcPr calcId="12451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2"/>
  <c r="N3"/>
  <c r="L4"/>
  <c r="N4"/>
  <c r="L5"/>
  <c r="N5"/>
  <c r="L6"/>
  <c r="N6"/>
  <c r="L7"/>
  <c r="N7"/>
  <c r="L8"/>
  <c r="N8"/>
  <c r="L9"/>
  <c r="N9"/>
  <c r="L10"/>
  <c r="N10"/>
  <c r="L11"/>
  <c r="N11"/>
  <c r="L12"/>
  <c r="N12"/>
  <c r="L13"/>
  <c r="N13"/>
  <c r="L14"/>
  <c r="N14"/>
  <c r="L15"/>
  <c r="N15"/>
  <c r="P19" l="1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O3"/>
  <c r="P3" s="1"/>
  <c r="O4"/>
  <c r="P4" s="1"/>
  <c r="O5"/>
  <c r="P5" s="1"/>
  <c r="O6"/>
  <c r="P6" s="1"/>
  <c r="O7"/>
  <c r="P7" s="1"/>
  <c r="O8"/>
  <c r="P8" s="1"/>
  <c r="O9"/>
  <c r="P9" s="1"/>
  <c r="O10"/>
  <c r="P10" s="1"/>
  <c r="O11"/>
  <c r="O13"/>
  <c r="O14"/>
  <c r="O15"/>
  <c r="P15" s="1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2"/>
  <c r="P11"/>
  <c r="N16"/>
  <c r="N17"/>
  <c r="N18"/>
  <c r="P18" s="1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2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2"/>
  <c r="B2" i="5"/>
  <c r="B3" s="1"/>
  <c r="P13" i="2" l="1"/>
  <c r="P17"/>
  <c r="P2"/>
  <c r="P16"/>
  <c r="P14"/>
  <c r="B4" i="5"/>
  <c r="B5" s="1"/>
  <c r="B6" l="1"/>
  <c r="B7" l="1"/>
  <c r="B8" l="1"/>
  <c r="B9" l="1"/>
  <c r="M71" i="2"/>
  <c r="M72"/>
  <c r="B10" i="5" l="1"/>
  <c r="B11" l="1"/>
  <c r="B12" l="1"/>
  <c r="B13" l="1"/>
  <c r="B14" l="1"/>
  <c r="B15" l="1"/>
  <c r="B16" s="1"/>
  <c r="B17" s="1"/>
  <c r="B18" s="1"/>
  <c r="B19" s="1"/>
  <c r="B20" s="1"/>
  <c r="B21" s="1"/>
  <c r="B22" l="1"/>
  <c r="B23" l="1"/>
  <c r="B24" l="1"/>
  <c r="B25" l="1"/>
  <c r="B26" l="1"/>
  <c r="B27" l="1"/>
  <c r="B28" l="1"/>
  <c r="B29" l="1"/>
  <c r="B30" l="1"/>
  <c r="B31" l="1"/>
  <c r="B32" l="1"/>
  <c r="B33" l="1"/>
  <c r="B34" l="1"/>
  <c r="B35" l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D2" s="1"/>
  <c r="D3" l="1"/>
  <c r="D4"/>
  <c r="D30"/>
  <c r="D34"/>
  <c r="D7"/>
  <c r="D6"/>
  <c r="D5"/>
  <c r="D15"/>
  <c r="D8"/>
  <c r="D10"/>
  <c r="D12"/>
  <c r="O12" i="2" s="1"/>
  <c r="D14" i="5"/>
  <c r="D24"/>
  <c r="D16"/>
  <c r="D17"/>
  <c r="D25"/>
  <c r="D18"/>
  <c r="D20"/>
  <c r="D22"/>
  <c r="D19"/>
  <c r="D29"/>
  <c r="D27"/>
  <c r="D28"/>
  <c r="D11"/>
  <c r="D13"/>
  <c r="D23"/>
  <c r="D26"/>
  <c r="D9"/>
  <c r="D21"/>
  <c r="D36"/>
  <c r="D31"/>
  <c r="D33"/>
  <c r="D32"/>
  <c r="D53"/>
  <c r="D59"/>
  <c r="D35"/>
  <c r="D71"/>
  <c r="D51"/>
  <c r="D68"/>
  <c r="D47"/>
  <c r="D75"/>
  <c r="D76"/>
  <c r="D67"/>
  <c r="D54"/>
  <c r="D69"/>
  <c r="D46"/>
  <c r="D80"/>
  <c r="D55"/>
  <c r="D66"/>
  <c r="D81"/>
  <c r="D60"/>
  <c r="D58"/>
  <c r="D70"/>
  <c r="D52"/>
  <c r="E2"/>
  <c r="D79"/>
  <c r="D38"/>
  <c r="D57"/>
  <c r="D49"/>
  <c r="D50"/>
  <c r="D40"/>
  <c r="D56"/>
  <c r="D78"/>
  <c r="D73"/>
  <c r="D45"/>
  <c r="D62"/>
  <c r="D61"/>
  <c r="D44"/>
  <c r="D74"/>
  <c r="D65"/>
  <c r="D42"/>
  <c r="D43"/>
  <c r="D64"/>
  <c r="D48"/>
  <c r="D77"/>
  <c r="D39"/>
  <c r="D72"/>
  <c r="D41"/>
  <c r="D63"/>
  <c r="D37"/>
  <c r="P12" i="2" l="1"/>
  <c r="V7"/>
  <c r="V9"/>
  <c r="V70"/>
  <c r="B18" i="4"/>
  <c r="B38"/>
  <c r="B33"/>
  <c r="V14" i="2"/>
  <c r="V4"/>
  <c r="V58"/>
  <c r="B10" i="4"/>
  <c r="B78"/>
  <c r="B55"/>
  <c r="V74" i="2"/>
  <c r="V13"/>
  <c r="V11"/>
  <c r="B25" i="4"/>
  <c r="B67"/>
  <c r="V15" i="2"/>
  <c r="B9" i="4"/>
  <c r="B66"/>
  <c r="B12"/>
  <c r="B49"/>
  <c r="B70"/>
  <c r="V17" i="2"/>
  <c r="V78"/>
  <c r="V63"/>
  <c r="B72" i="4"/>
  <c r="V49" i="2"/>
  <c r="B76" i="4"/>
  <c r="V44" i="2"/>
  <c r="B68" i="4"/>
  <c r="V3" i="2"/>
  <c r="B45" i="4"/>
  <c r="V42" i="2"/>
  <c r="V53"/>
  <c r="V73"/>
  <c r="B71" i="4"/>
  <c r="V29" i="2"/>
  <c r="B58" i="4"/>
  <c r="B69"/>
  <c r="V41" i="2"/>
  <c r="V26"/>
  <c r="V45"/>
  <c r="B53" i="4"/>
  <c r="V55" i="2"/>
  <c r="V48"/>
  <c r="B3" i="4"/>
  <c r="V47" i="2"/>
  <c r="B27" i="4"/>
  <c r="V12" i="2"/>
  <c r="B35" i="4"/>
  <c r="V25" i="2"/>
  <c r="B8" i="4"/>
  <c r="B34"/>
  <c r="V6" i="2"/>
  <c r="B74" i="4"/>
  <c r="V40" i="2"/>
  <c r="V69"/>
  <c r="B48" i="4"/>
  <c r="V52" i="2"/>
  <c r="V72"/>
  <c r="V81"/>
  <c r="B39" i="4"/>
  <c r="B44"/>
  <c r="B15"/>
  <c r="B46"/>
  <c r="V10" i="2"/>
  <c r="V68"/>
  <c r="B37" i="4"/>
  <c r="B40"/>
  <c r="B77"/>
  <c r="B21"/>
  <c r="B79"/>
  <c r="B42"/>
  <c r="B75"/>
  <c r="B57"/>
  <c r="B43"/>
  <c r="V32" i="2"/>
  <c r="V60"/>
  <c r="B41" i="4"/>
  <c r="V75" i="2"/>
  <c r="V2"/>
  <c r="B36" i="4"/>
  <c r="B4"/>
  <c r="B7"/>
  <c r="V38" i="2"/>
  <c r="B31" i="4"/>
  <c r="B26"/>
  <c r="V59" i="2"/>
  <c r="B61" i="4"/>
  <c r="V5" i="2"/>
  <c r="B47" i="4"/>
  <c r="V21" i="2"/>
  <c r="B14" i="4"/>
  <c r="V16" i="2"/>
  <c r="B29" i="4"/>
  <c r="B17"/>
  <c r="V50" i="2"/>
  <c r="B28" i="4"/>
  <c r="V30" i="2"/>
  <c r="V46"/>
  <c r="B23" i="4"/>
  <c r="V65" i="2"/>
  <c r="V39"/>
  <c r="V18"/>
  <c r="B65" i="4"/>
  <c r="V66" i="2"/>
  <c r="V28"/>
  <c r="V19"/>
  <c r="V76"/>
  <c r="V33"/>
  <c r="B56" i="4"/>
  <c r="B62"/>
  <c r="V77" i="2"/>
  <c r="V36"/>
  <c r="B30" i="4"/>
  <c r="B20"/>
  <c r="V56" i="2"/>
  <c r="V64"/>
  <c r="V31"/>
  <c r="V35"/>
  <c r="V62"/>
  <c r="B13" i="4"/>
  <c r="V22" i="2"/>
  <c r="B11" i="4"/>
  <c r="B80"/>
  <c r="V79" i="2"/>
  <c r="B16" i="4"/>
  <c r="B73"/>
  <c r="B51"/>
  <c r="B81"/>
  <c r="B50"/>
  <c r="V27" i="2"/>
  <c r="B59" i="4"/>
  <c r="B60"/>
  <c r="B19"/>
  <c r="V24" i="2"/>
  <c r="V54"/>
  <c r="V57"/>
  <c r="B22" i="4"/>
  <c r="V43" i="2"/>
  <c r="B6" i="4"/>
  <c r="V20" i="2"/>
  <c r="V61"/>
  <c r="V23"/>
  <c r="B63" i="4"/>
  <c r="B64"/>
  <c r="V51" i="2"/>
  <c r="V8"/>
  <c r="V67"/>
  <c r="B54" i="4"/>
  <c r="B32"/>
  <c r="B52"/>
  <c r="V37" i="2"/>
  <c r="B24" i="4"/>
  <c r="V80" i="2"/>
  <c r="V71"/>
  <c r="B5" i="4"/>
  <c r="V34" i="2"/>
  <c r="W77" l="1"/>
  <c r="W65"/>
  <c r="W45"/>
  <c r="W60"/>
  <c r="W47"/>
  <c r="W66"/>
  <c r="W62"/>
  <c r="W61"/>
  <c r="W20"/>
  <c r="W34"/>
  <c r="W36"/>
  <c r="W76"/>
  <c r="W57"/>
  <c r="W44"/>
  <c r="W58"/>
  <c r="W54"/>
  <c r="W74"/>
  <c r="W49"/>
  <c r="W50"/>
  <c r="W18"/>
  <c r="W31"/>
  <c r="W72"/>
  <c r="W46"/>
  <c r="W29"/>
  <c r="W4"/>
  <c r="W35"/>
  <c r="W24"/>
  <c r="W42"/>
  <c r="W41"/>
  <c r="W80"/>
  <c r="W64"/>
  <c r="W23"/>
  <c r="W48"/>
  <c r="W38"/>
  <c r="W21"/>
  <c r="W53"/>
  <c r="W27"/>
  <c r="W30"/>
  <c r="W26"/>
  <c r="W33"/>
  <c r="W56"/>
  <c r="W32"/>
  <c r="W15"/>
  <c r="W13"/>
  <c r="W10"/>
  <c r="W25"/>
  <c r="W40"/>
  <c r="W71"/>
  <c r="W7"/>
  <c r="W79"/>
  <c r="W22"/>
  <c r="W5"/>
  <c r="W75"/>
  <c r="W11"/>
  <c r="W3"/>
  <c r="W37"/>
  <c r="W81"/>
  <c r="W17"/>
  <c r="W16"/>
  <c r="W63"/>
  <c r="W69"/>
  <c r="W78"/>
  <c r="W14"/>
  <c r="W68"/>
  <c r="W67"/>
  <c r="W39"/>
  <c r="W43"/>
  <c r="W73"/>
  <c r="W9"/>
  <c r="W8"/>
  <c r="W55"/>
  <c r="W52"/>
  <c r="W70"/>
  <c r="W6"/>
  <c r="W28"/>
  <c r="W59"/>
  <c r="W51"/>
  <c r="W12"/>
  <c r="W19"/>
  <c r="W2"/>
  <c r="B2" i="4"/>
  <c r="X2" i="2" l="1"/>
  <c r="C61" i="4"/>
  <c r="C57"/>
  <c r="C21"/>
  <c r="C72"/>
  <c r="C78"/>
  <c r="C14"/>
  <c r="C20"/>
  <c r="C75"/>
  <c r="C12"/>
  <c r="C24"/>
  <c r="C46"/>
  <c r="C55"/>
  <c r="C58"/>
  <c r="C36"/>
  <c r="C74"/>
  <c r="C52"/>
  <c r="C7"/>
  <c r="C43"/>
  <c r="C60"/>
  <c r="C34"/>
  <c r="C27"/>
  <c r="C17"/>
  <c r="C13"/>
  <c r="C28"/>
  <c r="C53"/>
  <c r="C6"/>
  <c r="C68"/>
  <c r="C47"/>
  <c r="C3"/>
  <c r="C48"/>
  <c r="C38"/>
  <c r="C33"/>
  <c r="C76"/>
  <c r="C30"/>
  <c r="C11"/>
  <c r="C15"/>
  <c r="C45"/>
  <c r="C37"/>
  <c r="C62"/>
  <c r="C65"/>
  <c r="C40"/>
  <c r="C59"/>
  <c r="C56"/>
  <c r="C81"/>
  <c r="C64"/>
  <c r="C80"/>
  <c r="C22"/>
  <c r="C54"/>
  <c r="C5"/>
  <c r="C25"/>
  <c r="C10"/>
  <c r="C26"/>
  <c r="C42"/>
  <c r="C35"/>
  <c r="C23"/>
  <c r="C50"/>
  <c r="C51"/>
  <c r="C49"/>
  <c r="C31"/>
  <c r="C69"/>
  <c r="C70"/>
  <c r="C79"/>
  <c r="C4"/>
  <c r="C63"/>
  <c r="C41"/>
  <c r="C44"/>
  <c r="C18"/>
  <c r="C9"/>
  <c r="C73"/>
  <c r="C32"/>
  <c r="C19"/>
  <c r="C39"/>
  <c r="C71"/>
  <c r="C66"/>
  <c r="C77"/>
  <c r="C8"/>
  <c r="C29"/>
  <c r="C67"/>
  <c r="C16"/>
  <c r="X48" i="2"/>
  <c r="X11"/>
  <c r="X39"/>
  <c r="X37"/>
  <c r="X9"/>
  <c r="X53"/>
  <c r="X51"/>
  <c r="X7"/>
  <c r="X12"/>
  <c r="X20"/>
  <c r="X46"/>
  <c r="X24"/>
  <c r="X40"/>
  <c r="X3"/>
  <c r="X18"/>
  <c r="X13"/>
  <c r="X47"/>
  <c r="X57"/>
  <c r="X29"/>
  <c r="X59"/>
  <c r="X71"/>
  <c r="X68"/>
  <c r="X36"/>
  <c r="X54"/>
  <c r="X19"/>
  <c r="X55"/>
  <c r="X16"/>
  <c r="X6"/>
  <c r="X60"/>
  <c r="X27"/>
  <c r="X22"/>
  <c r="X66"/>
  <c r="X25"/>
  <c r="X38"/>
  <c r="X45"/>
  <c r="X31"/>
  <c r="X69"/>
  <c r="X77"/>
  <c r="X5"/>
  <c r="X23"/>
  <c r="X34"/>
  <c r="X49"/>
  <c r="X10"/>
  <c r="X14"/>
  <c r="X58"/>
  <c r="X65"/>
  <c r="X4"/>
  <c r="X67"/>
  <c r="X15"/>
  <c r="X63"/>
  <c r="X41"/>
  <c r="X75"/>
  <c r="X70"/>
  <c r="X26"/>
  <c r="X52"/>
  <c r="X78"/>
  <c r="X64"/>
  <c r="X72"/>
  <c r="X21"/>
  <c r="X32"/>
  <c r="X8"/>
  <c r="X43"/>
  <c r="X50"/>
  <c r="X76"/>
  <c r="X56"/>
  <c r="X35"/>
  <c r="X62"/>
  <c r="X80"/>
  <c r="X74"/>
  <c r="X17"/>
  <c r="X30"/>
  <c r="X81"/>
  <c r="X33"/>
  <c r="X28"/>
  <c r="X44"/>
  <c r="X61"/>
  <c r="X79"/>
  <c r="X42"/>
  <c r="X73"/>
  <c r="C2" i="4"/>
  <c r="D41" l="1"/>
  <c r="D66"/>
  <c r="D47"/>
  <c r="D33"/>
  <c r="D27"/>
  <c r="D10"/>
  <c r="D72"/>
  <c r="D50"/>
  <c r="D8"/>
  <c r="D78"/>
  <c r="D30"/>
  <c r="D73"/>
  <c r="D13"/>
  <c r="D64"/>
  <c r="D14"/>
  <c r="D25"/>
  <c r="D79"/>
  <c r="D75"/>
  <c r="D21"/>
  <c r="D52"/>
  <c r="D44"/>
  <c r="D69"/>
  <c r="D43"/>
  <c r="D40"/>
  <c r="D31"/>
  <c r="D26"/>
  <c r="D37"/>
  <c r="D56"/>
  <c r="D15"/>
  <c r="D38"/>
  <c r="D20"/>
  <c r="D29"/>
  <c r="D59"/>
  <c r="D67"/>
  <c r="D46"/>
  <c r="D36"/>
  <c r="D68"/>
  <c r="D35"/>
  <c r="D71"/>
  <c r="D74"/>
  <c r="D55"/>
  <c r="D17"/>
  <c r="D60"/>
  <c r="D51"/>
  <c r="D28"/>
  <c r="D24"/>
  <c r="D63"/>
  <c r="D23"/>
  <c r="D62"/>
  <c r="D70"/>
  <c r="D49"/>
  <c r="D4"/>
  <c r="D81"/>
  <c r="D54"/>
  <c r="D22"/>
  <c r="D77"/>
  <c r="D5"/>
  <c r="D19"/>
  <c r="D80"/>
  <c r="D3"/>
  <c r="D34"/>
  <c r="D7"/>
  <c r="D48"/>
  <c r="D53"/>
  <c r="D39"/>
  <c r="D16"/>
  <c r="D57"/>
  <c r="D65"/>
  <c r="D32"/>
  <c r="D11"/>
  <c r="D61"/>
  <c r="D58"/>
  <c r="D2"/>
  <c r="D18"/>
  <c r="D6"/>
  <c r="D45"/>
  <c r="D12"/>
  <c r="D76"/>
  <c r="D42"/>
  <c r="D9"/>
</calcChain>
</file>

<file path=xl/sharedStrings.xml><?xml version="1.0" encoding="utf-8"?>
<sst xmlns="http://schemas.openxmlformats.org/spreadsheetml/2006/main" count="686" uniqueCount="187">
  <si>
    <t>Product Code</t>
  </si>
  <si>
    <t>Product Name</t>
  </si>
  <si>
    <t>RU 5C 97</t>
  </si>
  <si>
    <t>Collar Cervical Soft Small</t>
  </si>
  <si>
    <t>RU 5C 98</t>
  </si>
  <si>
    <t>Collar Cervical Soft Medium</t>
  </si>
  <si>
    <t>RU 5C 99</t>
  </si>
  <si>
    <t>Collar Cervical Soft Large</t>
  </si>
  <si>
    <t>TD 0S 03</t>
  </si>
  <si>
    <t>Braille Slate Type A Size 355*245 mm</t>
  </si>
  <si>
    <t>TD 0S 24</t>
  </si>
  <si>
    <t>Brallie Kit With Braille Cane &amp; Braille Slate</t>
  </si>
  <si>
    <t>Beneficiary Name</t>
  </si>
  <si>
    <t>Father/Husband Name</t>
  </si>
  <si>
    <t>Address</t>
  </si>
  <si>
    <t>Age</t>
  </si>
  <si>
    <t>Gender</t>
  </si>
  <si>
    <t>DOA</t>
  </si>
  <si>
    <t>Caste</t>
  </si>
  <si>
    <t>NOB Product Wise</t>
  </si>
  <si>
    <t>Rate(RTU)</t>
  </si>
  <si>
    <t>Net Amount</t>
  </si>
  <si>
    <t>Mobile No</t>
  </si>
  <si>
    <t>Documents Required</t>
  </si>
  <si>
    <t>F</t>
  </si>
  <si>
    <t>M</t>
  </si>
  <si>
    <t>rtu</t>
  </si>
  <si>
    <t>fab</t>
  </si>
  <si>
    <t>Fabricating</t>
  </si>
  <si>
    <t>B/L Ankle Foot Orthosis(AFO) Size 1</t>
  </si>
  <si>
    <t>B/L Ankle Foot Orthosis(AFO) Size 2</t>
  </si>
  <si>
    <t>Rate(FAB)</t>
  </si>
  <si>
    <t>Product Code2</t>
  </si>
  <si>
    <t>Ankle Foot Orthosis(AFO) Size 1</t>
  </si>
  <si>
    <t>Ankle Foot Orthosis(AFO) Size 2</t>
  </si>
  <si>
    <t>Ankle Foot Orthosis(AFO) Size 3</t>
  </si>
  <si>
    <t>TD 1N 23</t>
  </si>
  <si>
    <t>TD 1N 24</t>
  </si>
  <si>
    <t>TD 1N 37</t>
  </si>
  <si>
    <t>TD 1N 38</t>
  </si>
  <si>
    <t>TD 1N 39</t>
  </si>
  <si>
    <t>TD 1N 40</t>
  </si>
  <si>
    <t>TD 1N 61</t>
  </si>
  <si>
    <t>TD 1N 70</t>
  </si>
  <si>
    <t>TD 0L 01</t>
  </si>
  <si>
    <t>TD 0L 02</t>
  </si>
  <si>
    <t>TD 0T 04</t>
  </si>
  <si>
    <t>TD 0T 06</t>
  </si>
  <si>
    <t>TD 0T 07</t>
  </si>
  <si>
    <t>TD 0T 08</t>
  </si>
  <si>
    <t>TD 0T 09</t>
  </si>
  <si>
    <t>TD 2A 26</t>
  </si>
  <si>
    <t>TD 2A 65</t>
  </si>
  <si>
    <t>TD 3B 60</t>
  </si>
  <si>
    <t>TD 0M 01</t>
  </si>
  <si>
    <t>TD 2N 85</t>
  </si>
  <si>
    <t>TD 2N 86</t>
  </si>
  <si>
    <t>TD 2A 06</t>
  </si>
  <si>
    <t>TD 2C 51</t>
  </si>
  <si>
    <t>TD 2C 95</t>
  </si>
  <si>
    <t>TD 2C 98</t>
  </si>
  <si>
    <t>TD 0E 17 / 16</t>
  </si>
  <si>
    <t>TD 0E 21 / 11</t>
  </si>
  <si>
    <t>RU 5C 90</t>
  </si>
  <si>
    <t>Walking Stick</t>
  </si>
  <si>
    <t xml:space="preserve">Braille Cane Folding for Visually Handicapped(Deluxe) </t>
  </si>
  <si>
    <t>ADL Kit for Leprosy Affected</t>
  </si>
  <si>
    <t>Cell Phonne for Leprosy Patients</t>
  </si>
  <si>
    <t>Smart Cane Type 1</t>
  </si>
  <si>
    <t>Smart Phone with Screen Reading</t>
  </si>
  <si>
    <t>Smart Phone with Magnifier</t>
  </si>
  <si>
    <t>Tablet</t>
  </si>
  <si>
    <t>Daisy Player</t>
  </si>
  <si>
    <t>Motorised Wheel Chair</t>
  </si>
  <si>
    <t>Motorised Tricycle with Box</t>
  </si>
  <si>
    <t>Cerebral Palsy (CP) Chair</t>
  </si>
  <si>
    <t>MSIDE Kit</t>
  </si>
  <si>
    <t>Rolator Size 1 (Child)</t>
  </si>
  <si>
    <t>Rolator Size 2 (Adult)</t>
  </si>
  <si>
    <t>Wheel Chair Folding Child Size (MAMTA)</t>
  </si>
  <si>
    <t>Wheel Chair Folding Standard Model Adult Size</t>
  </si>
  <si>
    <t>Tricycle Conventional Right Hand Drive (STUTI)</t>
  </si>
  <si>
    <t>Tricycle Conventional Hand Propelled (HAMRIHI)</t>
  </si>
  <si>
    <t>6 Pack of 13 Zinc-Air Battery</t>
  </si>
  <si>
    <t>Collar Cervical Flexo PU</t>
  </si>
  <si>
    <t>B/L Ankle Foot Orthosis (AFO) Size 3</t>
  </si>
  <si>
    <t>Knee Ankle Foot Orthosis (KAFO) w/o Knee Joint</t>
  </si>
  <si>
    <t>Knee Ankle Foot Orthosis (KAFO) Size 1</t>
  </si>
  <si>
    <t>Knee Ankle Foot Orthosis (KAFO) Size 2</t>
  </si>
  <si>
    <t>Knee Ankle Foot Orthosis (KAFO) Size 3</t>
  </si>
  <si>
    <t xml:space="preserve">B/L Knee Ankle Foot Orthosis (KAFO) w/o Knee Joint </t>
  </si>
  <si>
    <t>B/L Knee Ankle Foot Orthosis (KAFO) Size 1</t>
  </si>
  <si>
    <t>B/L Knee Ankle Foot Orthosis (KAFO) Size 2</t>
  </si>
  <si>
    <t>B/L Knee Ankle Foot Orthosis (KAFO) Size 3</t>
  </si>
  <si>
    <t>Hip Knee Ankle Foot Orthosis (HKAFO) w/o Knee Joint</t>
  </si>
  <si>
    <t>Hip Knee Ankle Foot Orthosis (HKAFO) Size 1</t>
  </si>
  <si>
    <t>Hip Knee Ankle Foot Orthosis (HKAFO) Size 2</t>
  </si>
  <si>
    <t>Hip Knee Ankle Foot Orthosis (HKAFO) Size 3</t>
  </si>
  <si>
    <t>B/L Hip Knee Ankle Foot Orthosis (HKAFO) w/o Knee Joint</t>
  </si>
  <si>
    <t>B/L Hip Knee Ankle Foot Orthosis (HKAFO) Size 1</t>
  </si>
  <si>
    <t>B/L Hip Knee Ankle Foot Orthosis (HKAFO) Size 2</t>
  </si>
  <si>
    <t>B/L Hip Knee Ankle Foot Orthosis (HKAFO) Size 3</t>
  </si>
  <si>
    <t xml:space="preserve">AFO + KAFO without K Jt. -1 </t>
  </si>
  <si>
    <t>AFO + KAFO (Size-1)</t>
  </si>
  <si>
    <t>AFO + KAFO (Size-2)</t>
  </si>
  <si>
    <t>AFO + KAFO (Size-3)</t>
  </si>
  <si>
    <t>AFO + HKAFO without K Jt. -1</t>
  </si>
  <si>
    <t>AFO + HKAFO (Size-1)</t>
  </si>
  <si>
    <t>AFO + HKAFO (Size-2)</t>
  </si>
  <si>
    <t>AFO + HKAFO (Size-3)</t>
  </si>
  <si>
    <t>KAFO + HKAFO without K Jt. -1</t>
  </si>
  <si>
    <t>KAFO + HKAFO (Size-1)</t>
  </si>
  <si>
    <t>KAFO + HKAFO (Size-2)</t>
  </si>
  <si>
    <t>KAFO + HKAFO (Size-3)</t>
  </si>
  <si>
    <t>Below Elbow Prosthesis including Cosmetic Glove (Child)</t>
  </si>
  <si>
    <t>Below Elbow Prosthesis including Cosmetic Glove (Adult)</t>
  </si>
  <si>
    <t>Above Elbow Prosthesis including Cosmetic Glove (Child)</t>
  </si>
  <si>
    <t>Above Elbow Prosthesis including Cosmetic Glove (Adult)</t>
  </si>
  <si>
    <t>Below Knee Prosthesis (Child)</t>
  </si>
  <si>
    <t>Below Knee Prosthesis (Medium)</t>
  </si>
  <si>
    <t>Below Knee Prosthesis (Adult)</t>
  </si>
  <si>
    <t>Above Knee Prosthesis (Child)</t>
  </si>
  <si>
    <t>Above Knee Prosthesis (Medium)</t>
  </si>
  <si>
    <t>Above Knee Prosthesis (Adult)</t>
  </si>
  <si>
    <t>B.K. Prosthesis Ottobock</t>
  </si>
  <si>
    <t>A.K. Prosthesis Ottobock</t>
  </si>
  <si>
    <t>Type of Disability</t>
  </si>
  <si>
    <t>Percentage of  disability</t>
  </si>
  <si>
    <t>QTY</t>
  </si>
  <si>
    <t>U/L BTE Digital Type Hearing Aid + 6 Pack of 13 Zinc-Air Battery</t>
  </si>
  <si>
    <t>B/L BTE Digital Type Hearing Aid + 6 Pack of 13 Zinc-Air Battery</t>
  </si>
  <si>
    <t>TD 0E 17 / 17</t>
  </si>
  <si>
    <t>Crutch Elbow Adjustable(Aluminium) Size 1</t>
  </si>
  <si>
    <t>Crutch Elbow Adjustable(Aluminium) Size 2</t>
  </si>
  <si>
    <t>Crutch Elbow Adjustable(Aluminium) Extra Small</t>
  </si>
  <si>
    <t>Crutch Elbow Adjustable(Aluminium)  Small</t>
  </si>
  <si>
    <t>Crutch Elbow Adjustable(Aluminium) Medium</t>
  </si>
  <si>
    <t>Crutch Elbow Adjustable(Aluminium) Large</t>
  </si>
  <si>
    <t>Others</t>
  </si>
  <si>
    <t>Disability Certificate</t>
  </si>
  <si>
    <t>Jfvboudv</t>
  </si>
  <si>
    <t>Gfnhg</t>
  </si>
  <si>
    <t>Hngn</t>
  </si>
  <si>
    <t>Disability Certificate, Aadhar</t>
  </si>
  <si>
    <t>OH</t>
  </si>
  <si>
    <t>GM</t>
  </si>
  <si>
    <t>SC</t>
  </si>
  <si>
    <t>ST</t>
  </si>
  <si>
    <t>SL No</t>
  </si>
  <si>
    <t>Product  Code</t>
  </si>
  <si>
    <t>Description</t>
  </si>
  <si>
    <t>Total Quantity</t>
  </si>
  <si>
    <t>Rtu Rate</t>
  </si>
  <si>
    <t>Kbdjkg</t>
  </si>
  <si>
    <t>DFHUH</t>
  </si>
  <si>
    <t>Aadhar</t>
  </si>
  <si>
    <t>Photograph</t>
  </si>
  <si>
    <t>Search</t>
  </si>
  <si>
    <t>Working</t>
  </si>
  <si>
    <t>Frequency</t>
  </si>
  <si>
    <t>Final List</t>
  </si>
  <si>
    <t>Photograph, Aadhar</t>
  </si>
  <si>
    <t>Photograph, Disability Certificate</t>
  </si>
  <si>
    <t>Product</t>
  </si>
  <si>
    <t>frequency</t>
  </si>
  <si>
    <t>Income, Photograph</t>
  </si>
  <si>
    <t>Anc</t>
  </si>
  <si>
    <t>Aadhar, Income</t>
  </si>
  <si>
    <t>Aadhar, Income, Photograph</t>
  </si>
  <si>
    <t>pune</t>
  </si>
  <si>
    <t>CPMR</t>
  </si>
  <si>
    <t>HI</t>
  </si>
  <si>
    <t>VI</t>
  </si>
  <si>
    <t>OBC</t>
  </si>
  <si>
    <t>P</t>
  </si>
  <si>
    <t>Ram</t>
  </si>
  <si>
    <t>Income, Others</t>
  </si>
  <si>
    <t>RAJU</t>
  </si>
  <si>
    <t>RAVI</t>
  </si>
  <si>
    <t>SAM</t>
  </si>
  <si>
    <t>bangalore</t>
  </si>
  <si>
    <t>hyderabad</t>
  </si>
  <si>
    <t>delhi</t>
  </si>
  <si>
    <t xml:space="preserve">  18/02/2020</t>
  </si>
  <si>
    <t xml:space="preserve">  18/07/2020</t>
  </si>
  <si>
    <t xml:space="preserve">  19/08/2020</t>
  </si>
  <si>
    <t xml:space="preserve">  19-09-2020</t>
  </si>
</sst>
</file>

<file path=xl/styles.xml><?xml version="1.0" encoding="utf-8"?>
<styleSheet xmlns="http://schemas.openxmlformats.org/spreadsheetml/2006/main">
  <numFmts count="1">
    <numFmt numFmtId="164" formatCode="[$-14009]dd/mm/yyyy;@"/>
  </numFmts>
  <fonts count="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2" borderId="1" xfId="0" applyFont="1" applyFill="1" applyBorder="1"/>
    <xf numFmtId="0" fontId="0" fillId="0" borderId="1" xfId="0" applyFont="1" applyBorder="1"/>
    <xf numFmtId="0" fontId="0" fillId="2" borderId="2" xfId="0" applyFont="1" applyFill="1" applyBorder="1"/>
    <xf numFmtId="0" fontId="0" fillId="0" borderId="2" xfId="0" applyFont="1" applyBorder="1"/>
    <xf numFmtId="0" fontId="0" fillId="2" borderId="3" xfId="0" applyFont="1" applyFill="1" applyBorder="1"/>
    <xf numFmtId="0" fontId="0" fillId="0" borderId="3" xfId="0" applyFont="1" applyBorder="1"/>
    <xf numFmtId="0" fontId="3" fillId="3" borderId="4" xfId="0" applyFont="1" applyFill="1" applyBorder="1"/>
    <xf numFmtId="0" fontId="3" fillId="3" borderId="5" xfId="0" applyFont="1" applyFill="1" applyBorder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2" fillId="2" borderId="4" xfId="0" applyFont="1" applyFill="1" applyBorder="1"/>
    <xf numFmtId="0" fontId="0" fillId="2" borderId="5" xfId="0" applyFont="1" applyFill="1" applyBorder="1"/>
    <xf numFmtId="0" fontId="2" fillId="0" borderId="4" xfId="0" applyFont="1" applyBorder="1"/>
    <xf numFmtId="0" fontId="0" fillId="0" borderId="5" xfId="0" applyFont="1" applyBorder="1"/>
    <xf numFmtId="0" fontId="0" fillId="2" borderId="4" xfId="0" applyFont="1" applyFill="1" applyBorder="1"/>
    <xf numFmtId="0" fontId="0" fillId="0" borderId="4" xfId="0" applyFont="1" applyBorder="1"/>
    <xf numFmtId="14" fontId="0" fillId="0" borderId="0" xfId="0" applyNumberFormat="1"/>
    <xf numFmtId="0" fontId="4" fillId="0" borderId="0" xfId="0" applyFont="1"/>
    <xf numFmtId="0" fontId="4" fillId="2" borderId="4" xfId="0" applyFont="1" applyFill="1" applyBorder="1"/>
    <xf numFmtId="0" fontId="4" fillId="0" borderId="4" xfId="0" applyFont="1" applyBorder="1"/>
    <xf numFmtId="164" fontId="0" fillId="0" borderId="0" xfId="0" applyNumberFormat="1"/>
    <xf numFmtId="164" fontId="0" fillId="2" borderId="5" xfId="0" applyNumberFormat="1" applyFont="1" applyFill="1" applyBorder="1"/>
    <xf numFmtId="164" fontId="0" fillId="0" borderId="5" xfId="0" applyNumberFormat="1" applyFont="1" applyBorder="1"/>
    <xf numFmtId="164" fontId="0" fillId="2" borderId="5" xfId="0" applyNumberFormat="1" applyFont="1" applyFill="1" applyBorder="1" applyAlignment="1"/>
    <xf numFmtId="164" fontId="0" fillId="2" borderId="2" xfId="0" applyNumberFormat="1" applyFont="1" applyFill="1" applyBorder="1"/>
    <xf numFmtId="0" fontId="3" fillId="3" borderId="7" xfId="0" applyFont="1" applyFill="1" applyBorder="1"/>
    <xf numFmtId="0" fontId="0" fillId="0" borderId="0" xfId="0" applyBorder="1"/>
    <xf numFmtId="0" fontId="0" fillId="2" borderId="5" xfId="0" applyFill="1" applyBorder="1"/>
    <xf numFmtId="0" fontId="0" fillId="0" borderId="5" xfId="0" applyBorder="1"/>
    <xf numFmtId="164" fontId="0" fillId="2" borderId="5" xfId="0" applyNumberFormat="1" applyFill="1" applyBorder="1"/>
    <xf numFmtId="164" fontId="0" fillId="0" borderId="5" xfId="0" applyNumberFormat="1" applyBorder="1"/>
  </cellXfs>
  <cellStyles count="1">
    <cellStyle name="Normal" xfId="0" builtinId="0"/>
  </cellStyles>
  <dxfs count="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D81" totalsRowShown="0">
  <autoFilter ref="A1:D81"/>
  <tableColumns count="4">
    <tableColumn id="2" name="Product Name"/>
    <tableColumn id="3" name="rtu"/>
    <tableColumn id="4" name="Product Code2"/>
    <tableColumn id="5" name="fab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4" displayName="Table4" ref="A1:A81" totalsRowShown="0" headerRowBorderDxfId="6" tableBorderDxfId="5">
  <autoFilter ref="A1:A81"/>
  <tableColumns count="1">
    <tableColumn id="1" name="Product Nam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43" displayName="Table43" ref="A1:A81" totalsRowShown="0" headerRowBorderDxfId="3" tableBorderDxfId="2">
  <autoFilter ref="A1:A81"/>
  <tableColumns count="1">
    <tableColumn id="1" name="Product 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6" displayName="Table6" ref="B1:B81" totalsRowShown="0">
  <autoFilter ref="B1:B81"/>
  <tableColumns count="1">
    <tableColumn id="1" name="Working" dataDxfId="0">
      <calculatedColumnFormula>IF(ISNUMBER(SEARCH($F$2,Table43[[#This Row],[Product Name]])),MAX($B$1:B1)+1,0)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81"/>
  <sheetViews>
    <sheetView topLeftCell="A2" workbookViewId="0"/>
  </sheetViews>
  <sheetFormatPr defaultRowHeight="15"/>
  <cols>
    <col min="1" max="1" width="53.28515625" customWidth="1"/>
    <col min="2" max="2" width="9.28515625" customWidth="1"/>
    <col min="3" max="3" width="14.42578125" customWidth="1"/>
    <col min="12" max="12" width="20.5703125" customWidth="1"/>
  </cols>
  <sheetData>
    <row r="1" spans="1:4">
      <c r="A1" t="s">
        <v>1</v>
      </c>
      <c r="B1" t="s">
        <v>26</v>
      </c>
      <c r="C1" t="s">
        <v>32</v>
      </c>
      <c r="D1" t="s">
        <v>27</v>
      </c>
    </row>
    <row r="2" spans="1:4">
      <c r="A2" t="s">
        <v>3</v>
      </c>
      <c r="B2">
        <v>187</v>
      </c>
      <c r="C2" t="s">
        <v>2</v>
      </c>
      <c r="D2">
        <v>0</v>
      </c>
    </row>
    <row r="3" spans="1:4">
      <c r="A3" t="s">
        <v>5</v>
      </c>
      <c r="B3">
        <v>187</v>
      </c>
      <c r="C3" t="s">
        <v>4</v>
      </c>
      <c r="D3">
        <v>0</v>
      </c>
    </row>
    <row r="4" spans="1:4">
      <c r="A4" t="s">
        <v>7</v>
      </c>
      <c r="B4">
        <v>187</v>
      </c>
      <c r="C4" t="s">
        <v>6</v>
      </c>
      <c r="D4">
        <v>0</v>
      </c>
    </row>
    <row r="5" spans="1:4">
      <c r="A5" t="s">
        <v>9</v>
      </c>
      <c r="B5">
        <v>381</v>
      </c>
      <c r="C5" t="s">
        <v>8</v>
      </c>
      <c r="D5">
        <v>0</v>
      </c>
    </row>
    <row r="6" spans="1:4">
      <c r="A6" t="s">
        <v>11</v>
      </c>
      <c r="B6">
        <v>1845</v>
      </c>
      <c r="C6" t="s">
        <v>10</v>
      </c>
      <c r="D6">
        <v>0</v>
      </c>
    </row>
    <row r="7" spans="1:4">
      <c r="A7" t="s">
        <v>132</v>
      </c>
      <c r="B7">
        <v>936</v>
      </c>
      <c r="C7" t="s">
        <v>36</v>
      </c>
      <c r="D7">
        <v>0</v>
      </c>
    </row>
    <row r="8" spans="1:4">
      <c r="A8" t="s">
        <v>133</v>
      </c>
      <c r="B8">
        <v>994</v>
      </c>
      <c r="C8" t="s">
        <v>37</v>
      </c>
      <c r="D8">
        <v>0</v>
      </c>
    </row>
    <row r="9" spans="1:4">
      <c r="A9" t="s">
        <v>134</v>
      </c>
      <c r="B9">
        <v>898</v>
      </c>
      <c r="C9" t="s">
        <v>38</v>
      </c>
      <c r="D9">
        <v>0</v>
      </c>
    </row>
    <row r="10" spans="1:4">
      <c r="A10" t="s">
        <v>135</v>
      </c>
      <c r="B10">
        <v>949</v>
      </c>
      <c r="C10" t="s">
        <v>39</v>
      </c>
      <c r="D10">
        <v>0</v>
      </c>
    </row>
    <row r="11" spans="1:4">
      <c r="A11" t="s">
        <v>136</v>
      </c>
      <c r="B11">
        <v>994</v>
      </c>
      <c r="C11" t="s">
        <v>40</v>
      </c>
      <c r="D11">
        <v>0</v>
      </c>
    </row>
    <row r="12" spans="1:4">
      <c r="A12" t="s">
        <v>137</v>
      </c>
      <c r="B12">
        <v>1019</v>
      </c>
      <c r="C12" t="s">
        <v>41</v>
      </c>
      <c r="D12">
        <v>0</v>
      </c>
    </row>
    <row r="13" spans="1:4">
      <c r="A13" t="s">
        <v>64</v>
      </c>
      <c r="B13">
        <v>420</v>
      </c>
      <c r="C13" t="s">
        <v>42</v>
      </c>
      <c r="D13">
        <v>0</v>
      </c>
    </row>
    <row r="14" spans="1:4">
      <c r="A14" t="s">
        <v>65</v>
      </c>
      <c r="B14">
        <v>452</v>
      </c>
      <c r="C14" t="s">
        <v>43</v>
      </c>
      <c r="D14">
        <v>0</v>
      </c>
    </row>
    <row r="15" spans="1:4">
      <c r="A15" t="s">
        <v>66</v>
      </c>
      <c r="B15">
        <v>2600</v>
      </c>
      <c r="C15" t="s">
        <v>44</v>
      </c>
      <c r="D15">
        <v>0</v>
      </c>
    </row>
    <row r="16" spans="1:4">
      <c r="A16" t="s">
        <v>67</v>
      </c>
      <c r="B16">
        <v>1600</v>
      </c>
      <c r="C16" t="s">
        <v>45</v>
      </c>
      <c r="D16">
        <v>0</v>
      </c>
    </row>
    <row r="17" spans="1:4">
      <c r="A17" t="s">
        <v>68</v>
      </c>
      <c r="B17">
        <v>5300</v>
      </c>
      <c r="C17" t="s">
        <v>46</v>
      </c>
      <c r="D17">
        <v>0</v>
      </c>
    </row>
    <row r="18" spans="1:4">
      <c r="A18" t="s">
        <v>69</v>
      </c>
      <c r="B18">
        <v>12000</v>
      </c>
      <c r="C18" t="s">
        <v>47</v>
      </c>
      <c r="D18">
        <v>0</v>
      </c>
    </row>
    <row r="19" spans="1:4">
      <c r="A19" t="s">
        <v>70</v>
      </c>
      <c r="B19">
        <v>12000</v>
      </c>
      <c r="C19" t="s">
        <v>48</v>
      </c>
      <c r="D19">
        <v>0</v>
      </c>
    </row>
    <row r="20" spans="1:4">
      <c r="A20" t="s">
        <v>71</v>
      </c>
      <c r="B20">
        <v>12000</v>
      </c>
      <c r="C20" t="s">
        <v>49</v>
      </c>
      <c r="D20">
        <v>0</v>
      </c>
    </row>
    <row r="21" spans="1:4">
      <c r="A21" t="s">
        <v>72</v>
      </c>
      <c r="B21">
        <v>12000</v>
      </c>
      <c r="C21" t="s">
        <v>50</v>
      </c>
      <c r="D21">
        <v>0</v>
      </c>
    </row>
    <row r="22" spans="1:4">
      <c r="A22" t="s">
        <v>73</v>
      </c>
      <c r="B22">
        <v>65000</v>
      </c>
      <c r="C22" t="s">
        <v>51</v>
      </c>
      <c r="D22">
        <v>0</v>
      </c>
    </row>
    <row r="23" spans="1:4">
      <c r="A23" t="s">
        <v>74</v>
      </c>
      <c r="B23">
        <v>42000</v>
      </c>
      <c r="C23" t="s">
        <v>52</v>
      </c>
      <c r="D23">
        <v>0</v>
      </c>
    </row>
    <row r="24" spans="1:4">
      <c r="A24" t="s">
        <v>75</v>
      </c>
      <c r="B24">
        <v>5550</v>
      </c>
      <c r="C24" t="s">
        <v>53</v>
      </c>
      <c r="D24">
        <v>0</v>
      </c>
    </row>
    <row r="25" spans="1:4">
      <c r="A25" t="s">
        <v>76</v>
      </c>
      <c r="B25">
        <v>4500</v>
      </c>
      <c r="C25" t="s">
        <v>54</v>
      </c>
      <c r="D25">
        <v>0</v>
      </c>
    </row>
    <row r="26" spans="1:4">
      <c r="A26" t="s">
        <v>77</v>
      </c>
      <c r="B26">
        <v>1026</v>
      </c>
      <c r="C26" t="s">
        <v>55</v>
      </c>
      <c r="D26">
        <v>0</v>
      </c>
    </row>
    <row r="27" spans="1:4">
      <c r="A27" t="s">
        <v>78</v>
      </c>
      <c r="B27">
        <v>1026</v>
      </c>
      <c r="C27" t="s">
        <v>56</v>
      </c>
      <c r="D27">
        <v>0</v>
      </c>
    </row>
    <row r="28" spans="1:4">
      <c r="A28" t="s">
        <v>79</v>
      </c>
      <c r="B28">
        <v>7400</v>
      </c>
      <c r="C28" t="s">
        <v>57</v>
      </c>
      <c r="D28">
        <v>0</v>
      </c>
    </row>
    <row r="29" spans="1:4">
      <c r="A29" t="s">
        <v>80</v>
      </c>
      <c r="B29">
        <v>7400</v>
      </c>
      <c r="C29" t="s">
        <v>58</v>
      </c>
      <c r="D29">
        <v>0</v>
      </c>
    </row>
    <row r="30" spans="1:4">
      <c r="A30" t="s">
        <v>81</v>
      </c>
      <c r="B30">
        <v>6900</v>
      </c>
      <c r="C30" t="s">
        <v>59</v>
      </c>
      <c r="D30">
        <v>0</v>
      </c>
    </row>
    <row r="31" spans="1:4">
      <c r="A31" t="s">
        <v>82</v>
      </c>
      <c r="B31">
        <v>8400</v>
      </c>
      <c r="C31" t="s">
        <v>60</v>
      </c>
      <c r="D31">
        <v>0</v>
      </c>
    </row>
    <row r="32" spans="1:4">
      <c r="A32" t="s">
        <v>129</v>
      </c>
      <c r="B32">
        <v>4040</v>
      </c>
      <c r="C32" t="s">
        <v>61</v>
      </c>
      <c r="D32">
        <v>0</v>
      </c>
    </row>
    <row r="33" spans="1:4">
      <c r="A33" t="s">
        <v>130</v>
      </c>
      <c r="B33">
        <v>8080</v>
      </c>
      <c r="C33" t="s">
        <v>131</v>
      </c>
      <c r="D33">
        <v>0</v>
      </c>
    </row>
    <row r="34" spans="1:4">
      <c r="A34" s="4" t="s">
        <v>83</v>
      </c>
      <c r="B34" s="6">
        <v>140</v>
      </c>
      <c r="C34" s="6" t="s">
        <v>62</v>
      </c>
      <c r="D34" s="8">
        <v>0</v>
      </c>
    </row>
    <row r="35" spans="1:4">
      <c r="A35" s="3" t="s">
        <v>84</v>
      </c>
      <c r="B35" s="5">
        <v>260</v>
      </c>
      <c r="C35" s="5" t="s">
        <v>63</v>
      </c>
      <c r="D35" s="7">
        <v>0</v>
      </c>
    </row>
    <row r="36" spans="1:4">
      <c r="A36" s="4" t="s">
        <v>33</v>
      </c>
      <c r="B36" s="6">
        <v>0</v>
      </c>
      <c r="C36" s="6" t="s">
        <v>28</v>
      </c>
      <c r="D36" s="8">
        <v>3210</v>
      </c>
    </row>
    <row r="37" spans="1:4">
      <c r="A37" s="3" t="s">
        <v>34</v>
      </c>
      <c r="B37" s="5">
        <v>0</v>
      </c>
      <c r="C37" s="5" t="s">
        <v>28</v>
      </c>
      <c r="D37" s="7">
        <v>3480</v>
      </c>
    </row>
    <row r="38" spans="1:4">
      <c r="A38" s="4" t="s">
        <v>35</v>
      </c>
      <c r="B38" s="6">
        <v>0</v>
      </c>
      <c r="C38" s="6" t="s">
        <v>28</v>
      </c>
      <c r="D38" s="8">
        <v>3710</v>
      </c>
    </row>
    <row r="39" spans="1:4">
      <c r="A39" s="3" t="s">
        <v>29</v>
      </c>
      <c r="B39" s="5">
        <v>0</v>
      </c>
      <c r="C39" s="5" t="s">
        <v>28</v>
      </c>
      <c r="D39" s="7">
        <v>5420</v>
      </c>
    </row>
    <row r="40" spans="1:4">
      <c r="A40" s="4" t="s">
        <v>30</v>
      </c>
      <c r="B40" s="6">
        <v>0</v>
      </c>
      <c r="C40" s="6" t="s">
        <v>28</v>
      </c>
      <c r="D40" s="8">
        <v>5770</v>
      </c>
    </row>
    <row r="41" spans="1:4">
      <c r="A41" s="3" t="s">
        <v>85</v>
      </c>
      <c r="B41" s="5">
        <v>0</v>
      </c>
      <c r="C41" s="5" t="s">
        <v>28</v>
      </c>
      <c r="D41" s="7">
        <v>6100</v>
      </c>
    </row>
    <row r="42" spans="1:4">
      <c r="A42" s="4" t="s">
        <v>86</v>
      </c>
      <c r="B42" s="6">
        <v>0</v>
      </c>
      <c r="C42" s="6" t="s">
        <v>28</v>
      </c>
      <c r="D42" s="8">
        <v>5290</v>
      </c>
    </row>
    <row r="43" spans="1:4">
      <c r="A43" s="3" t="s">
        <v>87</v>
      </c>
      <c r="B43" s="5">
        <v>0</v>
      </c>
      <c r="C43" s="5" t="s">
        <v>28</v>
      </c>
      <c r="D43" s="7">
        <v>6200</v>
      </c>
    </row>
    <row r="44" spans="1:4">
      <c r="A44" s="4" t="s">
        <v>88</v>
      </c>
      <c r="B44" s="6">
        <v>0</v>
      </c>
      <c r="C44" s="6" t="s">
        <v>28</v>
      </c>
      <c r="D44" s="8">
        <v>6720</v>
      </c>
    </row>
    <row r="45" spans="1:4">
      <c r="A45" s="3" t="s">
        <v>89</v>
      </c>
      <c r="B45" s="5">
        <v>0</v>
      </c>
      <c r="C45" s="5" t="s">
        <v>28</v>
      </c>
      <c r="D45" s="7">
        <v>7190</v>
      </c>
    </row>
    <row r="46" spans="1:4">
      <c r="A46" s="4" t="s">
        <v>90</v>
      </c>
      <c r="B46" s="6">
        <v>0</v>
      </c>
      <c r="C46" s="6" t="s">
        <v>28</v>
      </c>
      <c r="D46" s="8">
        <v>9590</v>
      </c>
    </row>
    <row r="47" spans="1:4">
      <c r="A47" s="3" t="s">
        <v>91</v>
      </c>
      <c r="B47" s="5">
        <v>0</v>
      </c>
      <c r="C47" s="5" t="s">
        <v>28</v>
      </c>
      <c r="D47" s="7">
        <v>11410</v>
      </c>
    </row>
    <row r="48" spans="1:4">
      <c r="A48" s="4" t="s">
        <v>92</v>
      </c>
      <c r="B48" s="6">
        <v>0</v>
      </c>
      <c r="C48" s="6" t="s">
        <v>28</v>
      </c>
      <c r="D48" s="8">
        <v>12260</v>
      </c>
    </row>
    <row r="49" spans="1:4">
      <c r="A49" s="3" t="s">
        <v>93</v>
      </c>
      <c r="B49" s="5">
        <v>0</v>
      </c>
      <c r="C49" s="5" t="s">
        <v>28</v>
      </c>
      <c r="D49" s="7">
        <v>13070</v>
      </c>
    </row>
    <row r="50" spans="1:4">
      <c r="A50" s="4" t="s">
        <v>94</v>
      </c>
      <c r="B50" s="6">
        <v>0</v>
      </c>
      <c r="C50" s="6" t="s">
        <v>28</v>
      </c>
      <c r="D50" s="8">
        <v>6460</v>
      </c>
    </row>
    <row r="51" spans="1:4">
      <c r="A51" s="3" t="s">
        <v>95</v>
      </c>
      <c r="B51" s="5">
        <v>0</v>
      </c>
      <c r="C51" s="5" t="s">
        <v>28</v>
      </c>
      <c r="D51" s="7">
        <v>7380</v>
      </c>
    </row>
    <row r="52" spans="1:4">
      <c r="A52" s="4" t="s">
        <v>96</v>
      </c>
      <c r="B52" s="6">
        <v>0</v>
      </c>
      <c r="C52" s="6" t="s">
        <v>28</v>
      </c>
      <c r="D52" s="8">
        <v>8160</v>
      </c>
    </row>
    <row r="53" spans="1:4">
      <c r="A53" s="3" t="s">
        <v>97</v>
      </c>
      <c r="B53" s="5">
        <v>0</v>
      </c>
      <c r="C53" s="5" t="s">
        <v>28</v>
      </c>
      <c r="D53" s="7">
        <v>8690</v>
      </c>
    </row>
    <row r="54" spans="1:4">
      <c r="A54" s="4" t="s">
        <v>98</v>
      </c>
      <c r="B54" s="6">
        <v>0</v>
      </c>
      <c r="C54" s="6" t="s">
        <v>28</v>
      </c>
      <c r="D54" s="8">
        <v>11920</v>
      </c>
    </row>
    <row r="55" spans="1:4">
      <c r="A55" s="3" t="s">
        <v>99</v>
      </c>
      <c r="B55" s="5">
        <v>0</v>
      </c>
      <c r="C55" s="5" t="s">
        <v>28</v>
      </c>
      <c r="D55" s="7">
        <v>13770</v>
      </c>
    </row>
    <row r="56" spans="1:4">
      <c r="A56" s="4" t="s">
        <v>100</v>
      </c>
      <c r="B56" s="6">
        <v>0</v>
      </c>
      <c r="C56" s="6" t="s">
        <v>28</v>
      </c>
      <c r="D56" s="8">
        <v>15130</v>
      </c>
    </row>
    <row r="57" spans="1:4">
      <c r="A57" s="3" t="s">
        <v>101</v>
      </c>
      <c r="B57" s="5">
        <v>0</v>
      </c>
      <c r="C57" s="5" t="s">
        <v>28</v>
      </c>
      <c r="D57" s="7">
        <v>16070</v>
      </c>
    </row>
    <row r="58" spans="1:4">
      <c r="A58" s="4" t="s">
        <v>102</v>
      </c>
      <c r="B58" s="6">
        <v>0</v>
      </c>
      <c r="C58" s="6" t="s">
        <v>28</v>
      </c>
      <c r="D58" s="8">
        <v>7520</v>
      </c>
    </row>
    <row r="59" spans="1:4">
      <c r="A59" s="3" t="s">
        <v>103</v>
      </c>
      <c r="B59" s="5">
        <v>0</v>
      </c>
      <c r="C59" s="5" t="s">
        <v>28</v>
      </c>
      <c r="D59" s="7">
        <v>8430</v>
      </c>
    </row>
    <row r="60" spans="1:4">
      <c r="A60" s="4" t="s">
        <v>104</v>
      </c>
      <c r="B60" s="6">
        <v>0</v>
      </c>
      <c r="C60" s="6" t="s">
        <v>28</v>
      </c>
      <c r="D60" s="8">
        <v>9030</v>
      </c>
    </row>
    <row r="61" spans="1:4">
      <c r="A61" s="3" t="s">
        <v>105</v>
      </c>
      <c r="B61" s="5">
        <v>0</v>
      </c>
      <c r="C61" s="5" t="s">
        <v>28</v>
      </c>
      <c r="D61" s="7">
        <v>9590</v>
      </c>
    </row>
    <row r="62" spans="1:4">
      <c r="A62" s="4" t="s">
        <v>106</v>
      </c>
      <c r="B62" s="6">
        <v>0</v>
      </c>
      <c r="C62" s="6" t="s">
        <v>28</v>
      </c>
      <c r="D62" s="8">
        <v>8690</v>
      </c>
    </row>
    <row r="63" spans="1:4">
      <c r="A63" s="3" t="s">
        <v>107</v>
      </c>
      <c r="B63" s="5">
        <v>0</v>
      </c>
      <c r="C63" s="5" t="s">
        <v>28</v>
      </c>
      <c r="D63" s="7">
        <v>9610</v>
      </c>
    </row>
    <row r="64" spans="1:4">
      <c r="A64" s="4" t="s">
        <v>108</v>
      </c>
      <c r="B64" s="6">
        <v>0</v>
      </c>
      <c r="C64" s="6" t="s">
        <v>28</v>
      </c>
      <c r="D64" s="8">
        <v>10470</v>
      </c>
    </row>
    <row r="65" spans="1:4">
      <c r="A65" s="3" t="s">
        <v>109</v>
      </c>
      <c r="B65" s="5">
        <v>0</v>
      </c>
      <c r="C65" s="5" t="s">
        <v>28</v>
      </c>
      <c r="D65" s="7">
        <v>11090</v>
      </c>
    </row>
    <row r="66" spans="1:4">
      <c r="A66" s="4" t="s">
        <v>110</v>
      </c>
      <c r="B66" s="6">
        <v>0</v>
      </c>
      <c r="C66" s="6" t="s">
        <v>28</v>
      </c>
      <c r="D66" s="8">
        <v>10770</v>
      </c>
    </row>
    <row r="67" spans="1:4">
      <c r="A67" s="3" t="s">
        <v>111</v>
      </c>
      <c r="B67" s="5">
        <v>0</v>
      </c>
      <c r="C67" s="5" t="s">
        <v>28</v>
      </c>
      <c r="D67" s="7">
        <v>12600</v>
      </c>
    </row>
    <row r="68" spans="1:4">
      <c r="A68" s="4" t="s">
        <v>112</v>
      </c>
      <c r="B68" s="6">
        <v>0</v>
      </c>
      <c r="C68" s="6" t="s">
        <v>28</v>
      </c>
      <c r="D68" s="8">
        <v>13710</v>
      </c>
    </row>
    <row r="69" spans="1:4">
      <c r="A69" s="3" t="s">
        <v>113</v>
      </c>
      <c r="B69" s="5">
        <v>0</v>
      </c>
      <c r="C69" s="5" t="s">
        <v>28</v>
      </c>
      <c r="D69" s="7">
        <v>14570</v>
      </c>
    </row>
    <row r="70" spans="1:4">
      <c r="A70" s="4" t="s">
        <v>114</v>
      </c>
      <c r="B70" s="6">
        <v>0</v>
      </c>
      <c r="C70" s="6" t="s">
        <v>28</v>
      </c>
      <c r="D70" s="8">
        <v>8620</v>
      </c>
    </row>
    <row r="71" spans="1:4">
      <c r="A71" s="3" t="s">
        <v>115</v>
      </c>
      <c r="B71" s="5">
        <v>0</v>
      </c>
      <c r="C71" s="5" t="s">
        <v>28</v>
      </c>
      <c r="D71" s="7">
        <v>8820</v>
      </c>
    </row>
    <row r="72" spans="1:4">
      <c r="A72" s="4" t="s">
        <v>116</v>
      </c>
      <c r="B72" s="6">
        <v>0</v>
      </c>
      <c r="C72" s="6" t="s">
        <v>28</v>
      </c>
      <c r="D72" s="8">
        <v>10000</v>
      </c>
    </row>
    <row r="73" spans="1:4">
      <c r="A73" s="3" t="s">
        <v>117</v>
      </c>
      <c r="B73" s="5">
        <v>0</v>
      </c>
      <c r="C73" s="5" t="s">
        <v>28</v>
      </c>
      <c r="D73" s="7">
        <v>10000</v>
      </c>
    </row>
    <row r="74" spans="1:4">
      <c r="A74" s="4" t="s">
        <v>118</v>
      </c>
      <c r="B74" s="6">
        <v>0</v>
      </c>
      <c r="C74" s="6" t="s">
        <v>28</v>
      </c>
      <c r="D74" s="8">
        <v>7940</v>
      </c>
    </row>
    <row r="75" spans="1:4">
      <c r="A75" s="3" t="s">
        <v>119</v>
      </c>
      <c r="B75" s="5">
        <v>0</v>
      </c>
      <c r="C75" s="5" t="s">
        <v>28</v>
      </c>
      <c r="D75" s="7">
        <v>8030</v>
      </c>
    </row>
    <row r="76" spans="1:4">
      <c r="A76" s="4" t="s">
        <v>120</v>
      </c>
      <c r="B76" s="6">
        <v>0</v>
      </c>
      <c r="C76" s="6" t="s">
        <v>28</v>
      </c>
      <c r="D76" s="8">
        <v>8120</v>
      </c>
    </row>
    <row r="77" spans="1:4">
      <c r="A77" s="3" t="s">
        <v>121</v>
      </c>
      <c r="B77" s="5">
        <v>0</v>
      </c>
      <c r="C77" s="5" t="s">
        <v>28</v>
      </c>
      <c r="D77" s="7">
        <v>10000</v>
      </c>
    </row>
    <row r="78" spans="1:4">
      <c r="A78" s="4" t="s">
        <v>122</v>
      </c>
      <c r="B78" s="6">
        <v>0</v>
      </c>
      <c r="C78" s="6" t="s">
        <v>28</v>
      </c>
      <c r="D78" s="8">
        <v>10000</v>
      </c>
    </row>
    <row r="79" spans="1:4">
      <c r="A79" s="3" t="s">
        <v>123</v>
      </c>
      <c r="B79" s="5">
        <v>0</v>
      </c>
      <c r="C79" s="5" t="s">
        <v>28</v>
      </c>
      <c r="D79" s="7">
        <v>10000</v>
      </c>
    </row>
    <row r="80" spans="1:4">
      <c r="A80" s="4" t="s">
        <v>124</v>
      </c>
      <c r="B80" s="6">
        <v>0</v>
      </c>
      <c r="C80" s="6" t="s">
        <v>28</v>
      </c>
      <c r="D80" s="8">
        <v>14163</v>
      </c>
    </row>
    <row r="81" spans="1:4">
      <c r="A81" s="3" t="s">
        <v>125</v>
      </c>
      <c r="B81" s="5">
        <v>0</v>
      </c>
      <c r="C81" s="5" t="s">
        <v>28</v>
      </c>
      <c r="D81" s="7">
        <v>21687</v>
      </c>
    </row>
  </sheetData>
  <sheetProtection selectLockedCells="1" selectUnlockedCells="1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81"/>
  <sheetViews>
    <sheetView tabSelected="1" zoomScale="85" zoomScaleNormal="85" workbookViewId="0">
      <selection activeCell="I17" sqref="I17"/>
    </sheetView>
  </sheetViews>
  <sheetFormatPr defaultRowHeight="15"/>
  <cols>
    <col min="1" max="1" width="19.140625" customWidth="1"/>
    <col min="2" max="2" width="22.7109375" customWidth="1"/>
    <col min="3" max="3" width="19.42578125" customWidth="1"/>
    <col min="4" max="4" width="11.140625" customWidth="1"/>
    <col min="5" max="5" width="11.7109375" customWidth="1"/>
    <col min="6" max="6" width="19.28515625" customWidth="1"/>
    <col min="7" max="7" width="23.7109375" customWidth="1"/>
    <col min="8" max="8" width="11.7109375" customWidth="1"/>
    <col min="9" max="9" width="20.85546875" customWidth="1"/>
    <col min="10" max="10" width="56" customWidth="1"/>
    <col min="11" max="12" width="22.85546875" customWidth="1"/>
    <col min="13" max="13" width="16.140625" customWidth="1"/>
    <col min="14" max="14" width="11.42578125" customWidth="1"/>
    <col min="15" max="15" width="13.28515625" customWidth="1"/>
    <col min="16" max="16" width="12.7109375" customWidth="1"/>
    <col min="17" max="17" width="13.7109375" customWidth="1"/>
    <col min="18" max="18" width="29.7109375" customWidth="1"/>
    <col min="19" max="19" width="13.28515625" customWidth="1"/>
    <col min="21" max="21" width="54.7109375" customWidth="1"/>
    <col min="22" max="22" width="18.7109375" customWidth="1"/>
    <col min="23" max="23" width="17.140625" customWidth="1"/>
    <col min="24" max="24" width="14.28515625" customWidth="1"/>
    <col min="27" max="27" width="11.85546875" customWidth="1"/>
    <col min="28" max="28" width="49.5703125" customWidth="1"/>
    <col min="31" max="31" width="13.85546875" customWidth="1"/>
  </cols>
  <sheetData>
    <row r="1" spans="1:24">
      <c r="A1" s="9" t="s">
        <v>12</v>
      </c>
      <c r="B1" s="10" t="s">
        <v>13</v>
      </c>
      <c r="C1" s="10" t="s">
        <v>14</v>
      </c>
      <c r="D1" s="10" t="s">
        <v>15</v>
      </c>
      <c r="E1" s="10" t="s">
        <v>16</v>
      </c>
      <c r="F1" s="10" t="s">
        <v>126</v>
      </c>
      <c r="G1" s="10" t="s">
        <v>127</v>
      </c>
      <c r="H1" s="10" t="s">
        <v>17</v>
      </c>
      <c r="I1" s="10" t="s">
        <v>18</v>
      </c>
      <c r="J1" s="11" t="s">
        <v>1</v>
      </c>
      <c r="K1" s="10" t="s">
        <v>19</v>
      </c>
      <c r="L1" s="10" t="s">
        <v>0</v>
      </c>
      <c r="M1" s="11" t="s">
        <v>128</v>
      </c>
      <c r="N1" s="11" t="s">
        <v>20</v>
      </c>
      <c r="O1" s="11" t="s">
        <v>31</v>
      </c>
      <c r="P1" s="12" t="s">
        <v>21</v>
      </c>
      <c r="Q1" s="2" t="s">
        <v>22</v>
      </c>
      <c r="R1" s="1" t="s">
        <v>23</v>
      </c>
      <c r="U1" t="s">
        <v>163</v>
      </c>
      <c r="V1" t="s">
        <v>157</v>
      </c>
      <c r="W1" t="s">
        <v>164</v>
      </c>
      <c r="X1" t="s">
        <v>160</v>
      </c>
    </row>
    <row r="2" spans="1:24">
      <c r="A2" s="20" t="s">
        <v>174</v>
      </c>
      <c r="B2" t="s">
        <v>177</v>
      </c>
      <c r="C2" t="s">
        <v>169</v>
      </c>
      <c r="D2">
        <v>23</v>
      </c>
      <c r="E2" t="s">
        <v>24</v>
      </c>
      <c r="F2" t="s">
        <v>144</v>
      </c>
      <c r="G2">
        <v>45</v>
      </c>
      <c r="H2" s="23">
        <v>43330</v>
      </c>
      <c r="I2" t="s">
        <v>145</v>
      </c>
      <c r="J2" t="s">
        <v>3</v>
      </c>
      <c r="K2">
        <v>1</v>
      </c>
      <c r="L2" s="14" t="str">
        <f>IFERROR(VLOOKUP(J2,Table1[],3,0),"")</f>
        <v>RU 5C 97</v>
      </c>
      <c r="M2">
        <v>2</v>
      </c>
      <c r="N2">
        <f>IFERROR(VLOOKUP(J2,Table1[],2,0),"")</f>
        <v>187</v>
      </c>
      <c r="O2">
        <f>IFERROR(VLOOKUP(J2,Table1[],4,0),"")</f>
        <v>0</v>
      </c>
      <c r="P2">
        <f>IFERROR((N2*M2)+(O2*M2),"")</f>
        <v>374</v>
      </c>
      <c r="Q2">
        <v>9876543231</v>
      </c>
      <c r="R2" t="s">
        <v>165</v>
      </c>
      <c r="U2" t="s">
        <v>3</v>
      </c>
      <c r="V2">
        <f ca="1">IFERROR(SEARCH(INDIRECT(CELL("address")),U2),0)</f>
        <v>1</v>
      </c>
      <c r="W2">
        <f ca="1">IF(V2=0,"",COUNTIF($V$2:V2,"&gt;0"))</f>
        <v>1</v>
      </c>
      <c r="X2" t="str">
        <f ca="1">IFERROR(INDEX(U:U,MATCH(ROW(V1),W:W,0)),"")</f>
        <v>Collar Cervical Soft Small</v>
      </c>
    </row>
    <row r="3" spans="1:24">
      <c r="A3" s="13" t="s">
        <v>142</v>
      </c>
      <c r="B3" s="14" t="s">
        <v>177</v>
      </c>
      <c r="C3" s="14" t="s">
        <v>169</v>
      </c>
      <c r="D3" s="14">
        <v>23</v>
      </c>
      <c r="E3" s="14" t="s">
        <v>24</v>
      </c>
      <c r="F3" s="14" t="s">
        <v>144</v>
      </c>
      <c r="G3" s="14">
        <v>45</v>
      </c>
      <c r="H3" s="24">
        <v>43763</v>
      </c>
      <c r="I3" s="14" t="s">
        <v>145</v>
      </c>
      <c r="J3" s="14" t="s">
        <v>5</v>
      </c>
      <c r="K3" s="14">
        <v>1</v>
      </c>
      <c r="L3" s="14" t="str">
        <f>IFERROR(VLOOKUP(J3,Table1[],3,0),"")</f>
        <v>RU 5C 98</v>
      </c>
      <c r="M3" s="14">
        <v>1</v>
      </c>
      <c r="N3">
        <f>IFERROR(VLOOKUP(J3,Table1[],2,0),"")</f>
        <v>187</v>
      </c>
      <c r="O3">
        <f>IFERROR(VLOOKUP(J3,Table1[],4,0),"")</f>
        <v>0</v>
      </c>
      <c r="P3">
        <f t="shared" ref="P3:P66" si="0">IFERROR((N3*M3)+(O3*M3),"")</f>
        <v>187</v>
      </c>
      <c r="Q3">
        <v>9440485315</v>
      </c>
      <c r="R3" t="s">
        <v>143</v>
      </c>
      <c r="U3" t="s">
        <v>5</v>
      </c>
      <c r="V3">
        <f t="shared" ref="V3:V66" ca="1" si="1">IFERROR(SEARCH(INDIRECT(CELL("address")),U3),0)</f>
        <v>1</v>
      </c>
      <c r="W3">
        <f ca="1">IF(V3=0,"",COUNTIF($V$2:V3,"&gt;0"))</f>
        <v>2</v>
      </c>
      <c r="X3" t="str">
        <f t="shared" ref="X3:X66" ca="1" si="2">IFERROR(INDEX(U:U,MATCH(ROW(V2),W:W,0)),"")</f>
        <v>Collar Cervical Soft Medium</v>
      </c>
    </row>
    <row r="4" spans="1:24">
      <c r="A4" s="15" t="s">
        <v>140</v>
      </c>
      <c r="B4" s="16" t="s">
        <v>177</v>
      </c>
      <c r="C4" s="16" t="s">
        <v>180</v>
      </c>
      <c r="D4" s="16">
        <v>45</v>
      </c>
      <c r="E4" s="16" t="s">
        <v>24</v>
      </c>
      <c r="F4" s="16" t="s">
        <v>138</v>
      </c>
      <c r="G4" s="16">
        <v>78</v>
      </c>
      <c r="H4" s="25">
        <v>43792</v>
      </c>
      <c r="I4" s="16" t="s">
        <v>146</v>
      </c>
      <c r="J4" s="16" t="s">
        <v>129</v>
      </c>
      <c r="K4" s="16">
        <v>1</v>
      </c>
      <c r="L4" s="14" t="str">
        <f>IFERROR(VLOOKUP(J4,Table1[],3,0),"")</f>
        <v>TD 0E 17 / 16</v>
      </c>
      <c r="M4" s="16">
        <v>1</v>
      </c>
      <c r="N4">
        <f>IFERROR(VLOOKUP(J4,Table1[],2,0),"")</f>
        <v>4040</v>
      </c>
      <c r="O4">
        <f>IFERROR(VLOOKUP(J4,Table1[],4,0),"")</f>
        <v>0</v>
      </c>
      <c r="P4">
        <f t="shared" si="0"/>
        <v>4040</v>
      </c>
      <c r="Q4">
        <v>9440485315</v>
      </c>
      <c r="R4" t="s">
        <v>156</v>
      </c>
      <c r="U4" t="s">
        <v>7</v>
      </c>
      <c r="V4">
        <f t="shared" ca="1" si="1"/>
        <v>1</v>
      </c>
      <c r="W4">
        <f ca="1">IF(V4=0,"",COUNTIF($V$2:V4,"&gt;0"))</f>
        <v>3</v>
      </c>
      <c r="X4" t="str">
        <f t="shared" ca="1" si="2"/>
        <v>Collar Cervical Soft Large</v>
      </c>
    </row>
    <row r="5" spans="1:24">
      <c r="A5" s="13" t="s">
        <v>141</v>
      </c>
      <c r="B5" s="14" t="s">
        <v>178</v>
      </c>
      <c r="C5" s="14" t="s">
        <v>181</v>
      </c>
      <c r="D5" s="14">
        <v>56</v>
      </c>
      <c r="E5" s="14" t="s">
        <v>25</v>
      </c>
      <c r="F5" s="14" t="s">
        <v>144</v>
      </c>
      <c r="G5" s="14">
        <v>78</v>
      </c>
      <c r="H5" s="24">
        <v>43792</v>
      </c>
      <c r="I5" s="14" t="s">
        <v>147</v>
      </c>
      <c r="J5" s="14" t="s">
        <v>130</v>
      </c>
      <c r="K5" s="14">
        <v>1</v>
      </c>
      <c r="L5" s="14" t="str">
        <f>IFERROR(VLOOKUP(J5,Table1[],3,0),"")</f>
        <v>TD 0E 17 / 17</v>
      </c>
      <c r="M5" s="14">
        <v>1</v>
      </c>
      <c r="N5">
        <f>IFERROR(VLOOKUP(J5,Table1[],2,0),"")</f>
        <v>8080</v>
      </c>
      <c r="O5">
        <f>IFERROR(VLOOKUP(J5,Table1[],4,0),"")</f>
        <v>0</v>
      </c>
      <c r="P5">
        <f t="shared" si="0"/>
        <v>8080</v>
      </c>
      <c r="Q5">
        <v>9440485314</v>
      </c>
      <c r="R5" t="s">
        <v>138</v>
      </c>
      <c r="U5" t="s">
        <v>9</v>
      </c>
      <c r="V5">
        <f t="shared" ca="1" si="1"/>
        <v>1</v>
      </c>
      <c r="W5">
        <f ca="1">IF(V5=0,"",COUNTIF($V$2:V5,"&gt;0"))</f>
        <v>4</v>
      </c>
      <c r="X5" t="str">
        <f t="shared" ca="1" si="2"/>
        <v>Braille Slate Type A Size 355*245 mm</v>
      </c>
    </row>
    <row r="6" spans="1:24">
      <c r="A6" s="15" t="s">
        <v>140</v>
      </c>
      <c r="B6" s="16" t="s">
        <v>177</v>
      </c>
      <c r="C6" s="16" t="s">
        <v>180</v>
      </c>
      <c r="D6" s="16">
        <v>45</v>
      </c>
      <c r="E6" s="16" t="s">
        <v>24</v>
      </c>
      <c r="F6" s="16" t="s">
        <v>138</v>
      </c>
      <c r="G6" s="16">
        <v>78</v>
      </c>
      <c r="H6" s="25">
        <v>43792</v>
      </c>
      <c r="I6" s="16" t="s">
        <v>146</v>
      </c>
      <c r="J6" s="16" t="s">
        <v>129</v>
      </c>
      <c r="K6" s="16">
        <v>1</v>
      </c>
      <c r="L6" s="14" t="str">
        <f>IFERROR(VLOOKUP(J6,Table1[],3,0),"")</f>
        <v>TD 0E 17 / 16</v>
      </c>
      <c r="M6" s="16">
        <v>1</v>
      </c>
      <c r="N6">
        <f>IFERROR(VLOOKUP(J6,Table1[],2,0),"")</f>
        <v>4040</v>
      </c>
      <c r="O6">
        <f>IFERROR(VLOOKUP(J6,Table1[],4,0),"")</f>
        <v>0</v>
      </c>
      <c r="P6">
        <f t="shared" si="0"/>
        <v>4040</v>
      </c>
      <c r="Q6">
        <v>9440485314</v>
      </c>
      <c r="R6" t="s">
        <v>139</v>
      </c>
      <c r="U6" t="s">
        <v>11</v>
      </c>
      <c r="V6">
        <f t="shared" ca="1" si="1"/>
        <v>1</v>
      </c>
      <c r="W6">
        <f ca="1">IF(V6=0,"",COUNTIF($V$2:V6,"&gt;0"))</f>
        <v>5</v>
      </c>
      <c r="X6" t="str">
        <f t="shared" ca="1" si="2"/>
        <v>Brallie Kit With Braille Cane &amp; Braille Slate</v>
      </c>
    </row>
    <row r="7" spans="1:24">
      <c r="A7" s="15" t="s">
        <v>142</v>
      </c>
      <c r="B7" s="16" t="s">
        <v>177</v>
      </c>
      <c r="C7" s="16" t="s">
        <v>169</v>
      </c>
      <c r="D7" s="16">
        <v>36</v>
      </c>
      <c r="E7" s="31" t="s">
        <v>25</v>
      </c>
      <c r="F7" s="16" t="s">
        <v>170</v>
      </c>
      <c r="G7" s="16">
        <v>60</v>
      </c>
      <c r="H7" s="25">
        <v>44030</v>
      </c>
      <c r="I7" s="16" t="s">
        <v>145</v>
      </c>
      <c r="J7" s="16" t="s">
        <v>9</v>
      </c>
      <c r="K7" s="16">
        <v>1</v>
      </c>
      <c r="L7" s="14" t="str">
        <f>IFERROR(VLOOKUP(J7,Table1[],3,0),"")</f>
        <v>TD 0S 03</v>
      </c>
      <c r="M7" s="16">
        <v>4</v>
      </c>
      <c r="N7">
        <f>IFERROR(VLOOKUP(J7,Table1[],2,0),"")</f>
        <v>381</v>
      </c>
      <c r="O7">
        <f>IFERROR(VLOOKUP(J7,Table1[],4,0),"")</f>
        <v>0</v>
      </c>
      <c r="P7">
        <f t="shared" si="0"/>
        <v>1524</v>
      </c>
      <c r="Q7">
        <v>999999999</v>
      </c>
      <c r="R7" t="s">
        <v>139</v>
      </c>
      <c r="U7" t="s">
        <v>132</v>
      </c>
      <c r="V7">
        <f t="shared" ca="1" si="1"/>
        <v>1</v>
      </c>
      <c r="W7">
        <f ca="1">IF(V7=0,"",COUNTIF($V$2:V7,"&gt;0"))</f>
        <v>6</v>
      </c>
      <c r="X7" t="str">
        <f t="shared" ca="1" si="2"/>
        <v>Crutch Elbow Adjustable(Aluminium) Size 1</v>
      </c>
    </row>
    <row r="8" spans="1:24">
      <c r="A8" s="13" t="s">
        <v>153</v>
      </c>
      <c r="B8" s="14" t="s">
        <v>154</v>
      </c>
      <c r="C8" s="30" t="s">
        <v>169</v>
      </c>
      <c r="D8" s="14">
        <v>78</v>
      </c>
      <c r="E8" s="14" t="s">
        <v>25</v>
      </c>
      <c r="F8" s="14" t="s">
        <v>171</v>
      </c>
      <c r="G8" s="14">
        <v>45</v>
      </c>
      <c r="H8" s="32" t="s">
        <v>183</v>
      </c>
      <c r="I8" s="14" t="s">
        <v>145</v>
      </c>
      <c r="J8" s="14" t="s">
        <v>11</v>
      </c>
      <c r="K8" s="14">
        <v>1</v>
      </c>
      <c r="L8" s="14" t="str">
        <f>IFERROR(VLOOKUP(J8,Table1[],3,0),"")</f>
        <v>TD 0S 24</v>
      </c>
      <c r="M8" s="14">
        <v>1</v>
      </c>
      <c r="N8">
        <f>IFERROR(VLOOKUP(J8,Table1[],2,0),"")</f>
        <v>1845</v>
      </c>
      <c r="O8">
        <f>IFERROR(VLOOKUP(J8,Table1[],4,0),"")</f>
        <v>0</v>
      </c>
      <c r="P8">
        <f t="shared" si="0"/>
        <v>1845</v>
      </c>
      <c r="Q8">
        <v>9874563210</v>
      </c>
      <c r="R8" t="s">
        <v>155</v>
      </c>
      <c r="U8" t="s">
        <v>133</v>
      </c>
      <c r="V8">
        <f t="shared" ca="1" si="1"/>
        <v>1</v>
      </c>
      <c r="W8">
        <f ca="1">IF(V8=0,"",COUNTIF($V$2:V8,"&gt;0"))</f>
        <v>7</v>
      </c>
      <c r="X8" t="str">
        <f t="shared" ca="1" si="2"/>
        <v>Crutch Elbow Adjustable(Aluminium) Size 2</v>
      </c>
    </row>
    <row r="9" spans="1:24">
      <c r="A9" s="15" t="s">
        <v>166</v>
      </c>
      <c r="B9" s="31" t="s">
        <v>179</v>
      </c>
      <c r="C9" s="31" t="s">
        <v>169</v>
      </c>
      <c r="D9" s="16">
        <v>78</v>
      </c>
      <c r="E9" s="16" t="s">
        <v>24</v>
      </c>
      <c r="F9" s="16" t="s">
        <v>172</v>
      </c>
      <c r="G9" s="16">
        <v>89</v>
      </c>
      <c r="H9" s="33" t="s">
        <v>184</v>
      </c>
      <c r="I9" s="16" t="s">
        <v>173</v>
      </c>
      <c r="J9" s="16" t="s">
        <v>133</v>
      </c>
      <c r="K9" s="16">
        <v>1</v>
      </c>
      <c r="L9" s="14" t="str">
        <f>IFERROR(VLOOKUP(J9,Table1[],3,0),"")</f>
        <v>TD 1N 24</v>
      </c>
      <c r="M9" s="16">
        <v>1</v>
      </c>
      <c r="N9">
        <f>IFERROR(VLOOKUP(J9,Table1[],2,0),"")</f>
        <v>994</v>
      </c>
      <c r="O9">
        <f>IFERROR(VLOOKUP(J9,Table1[],4,0),"")</f>
        <v>0</v>
      </c>
      <c r="P9">
        <f t="shared" si="0"/>
        <v>994</v>
      </c>
      <c r="Q9">
        <v>9874563210</v>
      </c>
      <c r="R9" t="s">
        <v>161</v>
      </c>
      <c r="U9" t="s">
        <v>134</v>
      </c>
      <c r="V9">
        <f t="shared" ca="1" si="1"/>
        <v>1</v>
      </c>
      <c r="W9">
        <f ca="1">IF(V9=0,"",COUNTIF($V$2:V9,"&gt;0"))</f>
        <v>8</v>
      </c>
      <c r="X9" t="str">
        <f t="shared" ca="1" si="2"/>
        <v>Crutch Elbow Adjustable(Aluminium) Extra Small</v>
      </c>
    </row>
    <row r="10" spans="1:24">
      <c r="A10" s="13" t="s">
        <v>175</v>
      </c>
      <c r="B10" s="30" t="s">
        <v>179</v>
      </c>
      <c r="C10" s="30" t="s">
        <v>182</v>
      </c>
      <c r="D10" s="14">
        <v>45</v>
      </c>
      <c r="E10" s="14" t="s">
        <v>25</v>
      </c>
      <c r="F10" s="14" t="s">
        <v>171</v>
      </c>
      <c r="G10" s="14">
        <v>45</v>
      </c>
      <c r="H10" s="32" t="s">
        <v>185</v>
      </c>
      <c r="I10" s="14" t="s">
        <v>145</v>
      </c>
      <c r="J10" s="14" t="s">
        <v>9</v>
      </c>
      <c r="K10" s="14">
        <v>1</v>
      </c>
      <c r="L10" s="14" t="str">
        <f>IFERROR(VLOOKUP(J10,Table1[],3,0),"")</f>
        <v>TD 0S 03</v>
      </c>
      <c r="M10" s="14">
        <v>1</v>
      </c>
      <c r="N10">
        <f>IFERROR(VLOOKUP(J10,Table1[],2,0),"")</f>
        <v>381</v>
      </c>
      <c r="O10">
        <f>IFERROR(VLOOKUP(J10,Table1[],4,0),"")</f>
        <v>0</v>
      </c>
      <c r="P10">
        <f t="shared" si="0"/>
        <v>381</v>
      </c>
      <c r="Q10">
        <v>9874563210</v>
      </c>
      <c r="R10" t="s">
        <v>162</v>
      </c>
      <c r="U10" t="s">
        <v>135</v>
      </c>
      <c r="V10">
        <f t="shared" ca="1" si="1"/>
        <v>1</v>
      </c>
      <c r="W10">
        <f ca="1">IF(V10=0,"",COUNTIF($V$2:V10,"&gt;0"))</f>
        <v>9</v>
      </c>
      <c r="X10" t="str">
        <f t="shared" ca="1" si="2"/>
        <v>Crutch Elbow Adjustable(Aluminium)  Small</v>
      </c>
    </row>
    <row r="11" spans="1:24">
      <c r="A11" s="15" t="s">
        <v>175</v>
      </c>
      <c r="B11" s="31" t="s">
        <v>179</v>
      </c>
      <c r="C11" s="31" t="s">
        <v>182</v>
      </c>
      <c r="D11" s="16">
        <v>46</v>
      </c>
      <c r="E11" s="31" t="s">
        <v>25</v>
      </c>
      <c r="F11" s="16" t="s">
        <v>171</v>
      </c>
      <c r="G11" s="16">
        <v>52</v>
      </c>
      <c r="H11" s="33" t="s">
        <v>186</v>
      </c>
      <c r="I11" s="16" t="s">
        <v>145</v>
      </c>
      <c r="J11" s="31" t="s">
        <v>9</v>
      </c>
      <c r="K11" s="16">
        <v>1</v>
      </c>
      <c r="L11" s="14" t="str">
        <f>IFERROR(VLOOKUP(J11,Table1[],3,0),"")</f>
        <v>TD 0S 03</v>
      </c>
      <c r="M11" s="16">
        <v>1</v>
      </c>
      <c r="N11">
        <f>IFERROR(VLOOKUP(J11,Table1[],2,0),"")</f>
        <v>381</v>
      </c>
      <c r="O11">
        <f>IFERROR(VLOOKUP(J11,Table1[],4,0),"")</f>
        <v>0</v>
      </c>
      <c r="P11">
        <f t="shared" si="0"/>
        <v>381</v>
      </c>
      <c r="Q11">
        <v>974661230</v>
      </c>
      <c r="R11" t="s">
        <v>167</v>
      </c>
      <c r="U11" t="s">
        <v>136</v>
      </c>
      <c r="V11">
        <f t="shared" ca="1" si="1"/>
        <v>1</v>
      </c>
      <c r="W11">
        <f ca="1">IF(V11=0,"",COUNTIF($V$2:V11,"&gt;0"))</f>
        <v>10</v>
      </c>
      <c r="X11" t="str">
        <f t="shared" ca="1" si="2"/>
        <v>Crutch Elbow Adjustable(Aluminium) Medium</v>
      </c>
    </row>
    <row r="12" spans="1:24">
      <c r="A12" s="13"/>
      <c r="B12" s="14"/>
      <c r="C12" s="14"/>
      <c r="D12" s="14"/>
      <c r="E12" s="14"/>
      <c r="F12" s="14"/>
      <c r="G12" s="14"/>
      <c r="H12" s="24"/>
      <c r="I12" s="14"/>
      <c r="J12" s="14"/>
      <c r="K12" s="14">
        <v>1</v>
      </c>
      <c r="L12" s="14" t="str">
        <f>IFERROR(VLOOKUP(J12,Table1[],3,0),"")</f>
        <v/>
      </c>
      <c r="M12" s="14">
        <v>6</v>
      </c>
      <c r="N12" t="str">
        <f>IFERROR(VLOOKUP(J12,Table1[],2,0),"")</f>
        <v/>
      </c>
      <c r="O12" t="str">
        <f>IFERROR(VLOOKUP(J12,Table1[],4,0),"")</f>
        <v/>
      </c>
      <c r="P12" t="str">
        <f t="shared" si="0"/>
        <v/>
      </c>
      <c r="Q12">
        <v>9874563210</v>
      </c>
      <c r="R12" t="s">
        <v>168</v>
      </c>
      <c r="U12" t="s">
        <v>137</v>
      </c>
      <c r="V12">
        <f t="shared" ca="1" si="1"/>
        <v>1</v>
      </c>
      <c r="W12">
        <f ca="1">IF(V12=0,"",COUNTIF($V$2:V12,"&gt;0"))</f>
        <v>11</v>
      </c>
      <c r="X12" t="str">
        <f t="shared" ca="1" si="2"/>
        <v>Crutch Elbow Adjustable(Aluminium) Large</v>
      </c>
    </row>
    <row r="13" spans="1:24">
      <c r="A13" s="15"/>
      <c r="B13" s="16"/>
      <c r="C13" s="16"/>
      <c r="D13" s="16"/>
      <c r="E13" s="16"/>
      <c r="F13" s="16"/>
      <c r="G13" s="16"/>
      <c r="H13" s="25"/>
      <c r="I13" s="16"/>
      <c r="J13" s="16"/>
      <c r="K13" s="16">
        <v>1</v>
      </c>
      <c r="L13" s="14" t="str">
        <f>IFERROR(VLOOKUP(J13,Table1[],3,0),"")</f>
        <v/>
      </c>
      <c r="M13" s="16">
        <v>2</v>
      </c>
      <c r="N13" t="str">
        <f>IFERROR(VLOOKUP(J13,Table1[],2,0),"")</f>
        <v/>
      </c>
      <c r="O13" t="str">
        <f>IFERROR(VLOOKUP(J13,Table1[],4,0),"")</f>
        <v/>
      </c>
      <c r="P13" t="str">
        <f t="shared" si="0"/>
        <v/>
      </c>
      <c r="Q13">
        <v>9874563210</v>
      </c>
      <c r="R13" t="s">
        <v>165</v>
      </c>
      <c r="U13" t="s">
        <v>64</v>
      </c>
      <c r="V13">
        <f t="shared" ca="1" si="1"/>
        <v>1</v>
      </c>
      <c r="W13">
        <f ca="1">IF(V13=0,"",COUNTIF($V$2:V13,"&gt;0"))</f>
        <v>12</v>
      </c>
      <c r="X13" t="str">
        <f t="shared" ca="1" si="2"/>
        <v>Walking Stick</v>
      </c>
    </row>
    <row r="14" spans="1:24">
      <c r="A14" s="13"/>
      <c r="B14" s="14"/>
      <c r="C14" s="14"/>
      <c r="D14" s="14"/>
      <c r="E14" s="14"/>
      <c r="F14" s="14"/>
      <c r="G14" s="14"/>
      <c r="H14" s="24"/>
      <c r="I14" s="14"/>
      <c r="J14" s="30"/>
      <c r="K14" s="14">
        <v>1</v>
      </c>
      <c r="L14" s="14" t="str">
        <f>IFERROR(VLOOKUP(J14,Table1[],3,0),"")</f>
        <v/>
      </c>
      <c r="M14" s="14">
        <v>1</v>
      </c>
      <c r="N14" t="str">
        <f>IFERROR(VLOOKUP(J14,Table1[],2,0),"")</f>
        <v/>
      </c>
      <c r="O14" t="str">
        <f>IFERROR(VLOOKUP(J14,Table1[],4,0),"")</f>
        <v/>
      </c>
      <c r="P14" t="str">
        <f t="shared" si="0"/>
        <v/>
      </c>
      <c r="Q14">
        <v>9874563210</v>
      </c>
      <c r="R14" t="s">
        <v>176</v>
      </c>
      <c r="U14" t="s">
        <v>65</v>
      </c>
      <c r="V14">
        <f t="shared" ca="1" si="1"/>
        <v>1</v>
      </c>
      <c r="W14">
        <f ca="1">IF(V14=0,"",COUNTIF($V$2:V14,"&gt;0"))</f>
        <v>13</v>
      </c>
      <c r="X14" t="str">
        <f t="shared" ca="1" si="2"/>
        <v xml:space="preserve">Braille Cane Folding for Visually Handicapped(Deluxe) </v>
      </c>
    </row>
    <row r="15" spans="1:24">
      <c r="A15" s="15"/>
      <c r="B15" s="16"/>
      <c r="C15" s="16"/>
      <c r="D15" s="16"/>
      <c r="E15" s="16"/>
      <c r="F15" s="16"/>
      <c r="G15" s="16"/>
      <c r="H15" s="25"/>
      <c r="I15" s="16"/>
      <c r="J15" s="16"/>
      <c r="K15" s="16"/>
      <c r="L15" s="14" t="str">
        <f>IFERROR(VLOOKUP(J15,Table1[],3,0),"")</f>
        <v/>
      </c>
      <c r="M15" s="16"/>
      <c r="N15" t="str">
        <f>IFERROR(VLOOKUP(J15,Table1[],2,0),"")</f>
        <v/>
      </c>
      <c r="O15" t="str">
        <f>IFERROR(VLOOKUP(J15,Table1[],4,0),"")</f>
        <v/>
      </c>
      <c r="P15" t="str">
        <f t="shared" si="0"/>
        <v/>
      </c>
      <c r="U15" t="s">
        <v>66</v>
      </c>
      <c r="V15">
        <f t="shared" ca="1" si="1"/>
        <v>1</v>
      </c>
      <c r="W15">
        <f ca="1">IF(V15=0,"",COUNTIF($V$2:V15,"&gt;0"))</f>
        <v>14</v>
      </c>
      <c r="X15" t="str">
        <f t="shared" ca="1" si="2"/>
        <v>ADL Kit for Leprosy Affected</v>
      </c>
    </row>
    <row r="16" spans="1:24">
      <c r="A16" s="13"/>
      <c r="B16" s="14"/>
      <c r="C16" s="14"/>
      <c r="D16" s="14"/>
      <c r="E16" s="16"/>
      <c r="F16" s="14"/>
      <c r="G16" s="14"/>
      <c r="H16" s="24"/>
      <c r="I16" s="14"/>
      <c r="J16" s="14"/>
      <c r="K16" s="14"/>
      <c r="L16" s="14" t="str">
        <f>IFERROR(VLOOKUP(J16,Table1[],3,0),"")</f>
        <v/>
      </c>
      <c r="M16" s="14"/>
      <c r="N16" t="str">
        <f>IFERROR(VLOOKUP(J16,Table1[],2,0),"")</f>
        <v/>
      </c>
      <c r="O16" t="str">
        <f>IFERROR(VLOOKUP(J16,Table1[],4,0),"")</f>
        <v/>
      </c>
      <c r="P16" t="str">
        <f t="shared" si="0"/>
        <v/>
      </c>
      <c r="U16" t="s">
        <v>67</v>
      </c>
      <c r="V16">
        <f t="shared" ca="1" si="1"/>
        <v>1</v>
      </c>
      <c r="W16">
        <f ca="1">IF(V16=0,"",COUNTIF($V$2:V16,"&gt;0"))</f>
        <v>15</v>
      </c>
      <c r="X16" t="str">
        <f t="shared" ca="1" si="2"/>
        <v>Cell Phonne for Leprosy Patients</v>
      </c>
    </row>
    <row r="17" spans="1:24">
      <c r="A17" s="15"/>
      <c r="B17" s="16"/>
      <c r="C17" s="14"/>
      <c r="D17" s="16"/>
      <c r="E17" s="16"/>
      <c r="F17" s="16"/>
      <c r="G17" s="16"/>
      <c r="H17" s="25"/>
      <c r="I17" s="16"/>
      <c r="J17" s="16"/>
      <c r="K17" s="16"/>
      <c r="L17" s="14" t="str">
        <f>IFERROR(VLOOKUP(J17,Table1[],3,0),"")</f>
        <v/>
      </c>
      <c r="M17" s="16"/>
      <c r="N17" t="str">
        <f>IFERROR(VLOOKUP(J17,Table1[],2,0),"")</f>
        <v/>
      </c>
      <c r="O17" t="str">
        <f>IFERROR(VLOOKUP(J17,Table1[],4,0),"")</f>
        <v/>
      </c>
      <c r="P17" t="str">
        <f t="shared" si="0"/>
        <v/>
      </c>
      <c r="U17" t="s">
        <v>68</v>
      </c>
      <c r="V17">
        <f t="shared" ca="1" si="1"/>
        <v>1</v>
      </c>
      <c r="W17">
        <f ca="1">IF(V17=0,"",COUNTIF($V$2:V17,"&gt;0"))</f>
        <v>16</v>
      </c>
      <c r="X17" t="str">
        <f t="shared" ca="1" si="2"/>
        <v>Smart Cane Type 1</v>
      </c>
    </row>
    <row r="18" spans="1:24">
      <c r="A18" s="13"/>
      <c r="B18" s="14"/>
      <c r="C18" s="14"/>
      <c r="D18" s="14"/>
      <c r="E18" s="14"/>
      <c r="F18" s="14"/>
      <c r="G18" s="14"/>
      <c r="H18" s="24"/>
      <c r="I18" s="14"/>
      <c r="J18" s="14"/>
      <c r="K18" s="14"/>
      <c r="L18" s="14" t="str">
        <f>IFERROR(VLOOKUP(J18,Table1[],3,0),"")</f>
        <v/>
      </c>
      <c r="M18" s="14"/>
      <c r="N18" t="str">
        <f>IFERROR(VLOOKUP(J18,Table1[],2,0),"")</f>
        <v/>
      </c>
      <c r="O18" t="str">
        <f>IFERROR(VLOOKUP(J18,Table1[],4,0),"")</f>
        <v/>
      </c>
      <c r="P18" t="str">
        <f t="shared" si="0"/>
        <v/>
      </c>
      <c r="U18" t="s">
        <v>69</v>
      </c>
      <c r="V18">
        <f t="shared" ca="1" si="1"/>
        <v>1</v>
      </c>
      <c r="W18">
        <f ca="1">IF(V18=0,"",COUNTIF($V$2:V18,"&gt;0"))</f>
        <v>17</v>
      </c>
      <c r="X18" t="str">
        <f t="shared" ca="1" si="2"/>
        <v>Smart Phone with Screen Reading</v>
      </c>
    </row>
    <row r="19" spans="1:24">
      <c r="A19" s="15"/>
      <c r="B19" s="16"/>
      <c r="C19" s="16"/>
      <c r="D19" s="16"/>
      <c r="E19" s="16"/>
      <c r="F19" s="16"/>
      <c r="G19" s="16"/>
      <c r="H19" s="25"/>
      <c r="I19" s="16"/>
      <c r="J19" s="16"/>
      <c r="K19" s="16"/>
      <c r="L19" s="14" t="str">
        <f>IFERROR(VLOOKUP(J19,Table1[],3,0),"")</f>
        <v/>
      </c>
      <c r="M19" s="16"/>
      <c r="N19" t="str">
        <f>IFERROR(VLOOKUP(J19,Table1[],2,0),"")</f>
        <v/>
      </c>
      <c r="O19" t="str">
        <f>IFERROR(VLOOKUP(J19,Table1[],4,0),"")</f>
        <v/>
      </c>
      <c r="P19" t="str">
        <f t="shared" si="0"/>
        <v/>
      </c>
      <c r="U19" t="s">
        <v>70</v>
      </c>
      <c r="V19">
        <f t="shared" ca="1" si="1"/>
        <v>1</v>
      </c>
      <c r="W19">
        <f ca="1">IF(V19=0,"",COUNTIF($V$2:V19,"&gt;0"))</f>
        <v>18</v>
      </c>
      <c r="X19" t="str">
        <f t="shared" ca="1" si="2"/>
        <v>Smart Phone with Magnifier</v>
      </c>
    </row>
    <row r="20" spans="1:24">
      <c r="A20" s="13"/>
      <c r="B20" s="14"/>
      <c r="C20" s="14"/>
      <c r="D20" s="14"/>
      <c r="E20" s="14"/>
      <c r="F20" s="14"/>
      <c r="G20" s="14"/>
      <c r="H20" s="24"/>
      <c r="I20" s="14"/>
      <c r="J20" s="14"/>
      <c r="K20" s="14"/>
      <c r="L20" s="14" t="str">
        <f>IFERROR(VLOOKUP(J20,Table1[],3,0),"")</f>
        <v/>
      </c>
      <c r="M20" s="14"/>
      <c r="N20" t="str">
        <f>IFERROR(VLOOKUP(J20,Table1[],2,0),"")</f>
        <v/>
      </c>
      <c r="O20" t="str">
        <f>IFERROR(VLOOKUP(J20,Table1[],4,0),"")</f>
        <v/>
      </c>
      <c r="P20" t="str">
        <f t="shared" si="0"/>
        <v/>
      </c>
      <c r="U20" t="s">
        <v>71</v>
      </c>
      <c r="V20">
        <f t="shared" ca="1" si="1"/>
        <v>1</v>
      </c>
      <c r="W20">
        <f ca="1">IF(V20=0,"",COUNTIF($V$2:V20,"&gt;0"))</f>
        <v>19</v>
      </c>
      <c r="X20" t="str">
        <f t="shared" ca="1" si="2"/>
        <v>Tablet</v>
      </c>
    </row>
    <row r="21" spans="1:24">
      <c r="A21" s="15"/>
      <c r="B21" s="16"/>
      <c r="C21" s="16"/>
      <c r="D21" s="16"/>
      <c r="E21" s="16"/>
      <c r="F21" s="16"/>
      <c r="G21" s="16"/>
      <c r="H21" s="25"/>
      <c r="I21" s="16"/>
      <c r="J21" s="16"/>
      <c r="K21" s="16"/>
      <c r="L21" s="14" t="str">
        <f>IFERROR(VLOOKUP(J21,Table1[],3,0),"")</f>
        <v/>
      </c>
      <c r="M21" s="16"/>
      <c r="N21" t="str">
        <f>IFERROR(VLOOKUP(J21,Table1[],2,0),"")</f>
        <v/>
      </c>
      <c r="O21" t="str">
        <f>IFERROR(VLOOKUP(J21,Table1[],4,0),"")</f>
        <v/>
      </c>
      <c r="P21" t="str">
        <f t="shared" si="0"/>
        <v/>
      </c>
      <c r="U21" t="s">
        <v>72</v>
      </c>
      <c r="V21">
        <f t="shared" ca="1" si="1"/>
        <v>1</v>
      </c>
      <c r="W21">
        <f ca="1">IF(V21=0,"",COUNTIF($V$2:V21,"&gt;0"))</f>
        <v>20</v>
      </c>
      <c r="X21" t="str">
        <f t="shared" ca="1" si="2"/>
        <v>Daisy Player</v>
      </c>
    </row>
    <row r="22" spans="1:24">
      <c r="A22" s="13"/>
      <c r="B22" s="14"/>
      <c r="C22" s="14"/>
      <c r="D22" s="14"/>
      <c r="E22" s="14"/>
      <c r="F22" s="14"/>
      <c r="G22" s="14"/>
      <c r="H22" s="24"/>
      <c r="I22" s="14"/>
      <c r="J22" s="14"/>
      <c r="K22" s="14"/>
      <c r="L22" s="14" t="str">
        <f>IFERROR(VLOOKUP(J22,Table1[],3,0),"")</f>
        <v/>
      </c>
      <c r="M22" s="14"/>
      <c r="N22" t="str">
        <f>IFERROR(VLOOKUP(J22,Table1[],2,0),"")</f>
        <v/>
      </c>
      <c r="O22" t="str">
        <f>IFERROR(VLOOKUP(J22,Table1[],4,0),"")</f>
        <v/>
      </c>
      <c r="P22" t="str">
        <f t="shared" si="0"/>
        <v/>
      </c>
      <c r="U22" t="s">
        <v>73</v>
      </c>
      <c r="V22">
        <f t="shared" ca="1" si="1"/>
        <v>1</v>
      </c>
      <c r="W22">
        <f ca="1">IF(V22=0,"",COUNTIF($V$2:V22,"&gt;0"))</f>
        <v>21</v>
      </c>
      <c r="X22" t="str">
        <f t="shared" ca="1" si="2"/>
        <v>Motorised Wheel Chair</v>
      </c>
    </row>
    <row r="23" spans="1:24">
      <c r="A23" s="15"/>
      <c r="B23" s="16"/>
      <c r="C23" s="16"/>
      <c r="D23" s="16"/>
      <c r="E23" s="16"/>
      <c r="F23" s="16"/>
      <c r="G23" s="16"/>
      <c r="H23" s="25"/>
      <c r="I23" s="16"/>
      <c r="J23" s="16"/>
      <c r="K23" s="16"/>
      <c r="L23" s="14" t="str">
        <f>IFERROR(VLOOKUP(J23,Table1[],3,0),"")</f>
        <v/>
      </c>
      <c r="M23" s="16"/>
      <c r="N23" t="str">
        <f>IFERROR(VLOOKUP(J23,Table1[],2,0),"")</f>
        <v/>
      </c>
      <c r="O23" t="str">
        <f>IFERROR(VLOOKUP(J23,Table1[],4,0),"")</f>
        <v/>
      </c>
      <c r="P23" t="str">
        <f t="shared" si="0"/>
        <v/>
      </c>
      <c r="U23" t="s">
        <v>74</v>
      </c>
      <c r="V23">
        <f t="shared" ca="1" si="1"/>
        <v>1</v>
      </c>
      <c r="W23">
        <f ca="1">IF(V23=0,"",COUNTIF($V$2:V23,"&gt;0"))</f>
        <v>22</v>
      </c>
      <c r="X23" t="str">
        <f t="shared" ca="1" si="2"/>
        <v>Motorised Tricycle with Box</v>
      </c>
    </row>
    <row r="24" spans="1:24">
      <c r="A24" s="13"/>
      <c r="B24" s="14"/>
      <c r="C24" s="14"/>
      <c r="D24" s="14"/>
      <c r="E24" s="14"/>
      <c r="F24" s="14"/>
      <c r="G24" s="14"/>
      <c r="H24" s="26"/>
      <c r="I24" s="14"/>
      <c r="J24" s="14"/>
      <c r="K24" s="14"/>
      <c r="L24" s="14" t="str">
        <f>IFERROR(VLOOKUP(J24,Table1[],3,0),"")</f>
        <v/>
      </c>
      <c r="M24" s="14"/>
      <c r="N24" t="str">
        <f>IFERROR(VLOOKUP(J24,Table1[],2,0),"")</f>
        <v/>
      </c>
      <c r="O24" t="str">
        <f>IFERROR(VLOOKUP(J24,Table1[],4,0),"")</f>
        <v/>
      </c>
      <c r="P24" t="str">
        <f t="shared" si="0"/>
        <v/>
      </c>
      <c r="U24" t="s">
        <v>75</v>
      </c>
      <c r="V24">
        <f t="shared" ca="1" si="1"/>
        <v>1</v>
      </c>
      <c r="W24">
        <f ca="1">IF(V24=0,"",COUNTIF($V$2:V24,"&gt;0"))</f>
        <v>23</v>
      </c>
      <c r="X24" t="str">
        <f t="shared" ca="1" si="2"/>
        <v>Cerebral Palsy (CP) Chair</v>
      </c>
    </row>
    <row r="25" spans="1:24">
      <c r="A25" s="15"/>
      <c r="B25" s="16"/>
      <c r="C25" s="16"/>
      <c r="D25" s="16"/>
      <c r="E25" s="16"/>
      <c r="F25" s="16"/>
      <c r="G25" s="16"/>
      <c r="H25" s="25"/>
      <c r="I25" s="16"/>
      <c r="J25" s="16"/>
      <c r="K25" s="16"/>
      <c r="L25" s="14" t="str">
        <f>IFERROR(VLOOKUP(J25,Table1[],3,0),"")</f>
        <v/>
      </c>
      <c r="M25" s="16"/>
      <c r="N25" t="str">
        <f>IFERROR(VLOOKUP(J25,Table1[],2,0),"")</f>
        <v/>
      </c>
      <c r="O25" t="str">
        <f>IFERROR(VLOOKUP(J25,Table1[],4,0),"")</f>
        <v/>
      </c>
      <c r="P25" t="str">
        <f t="shared" si="0"/>
        <v/>
      </c>
      <c r="U25" t="s">
        <v>76</v>
      </c>
      <c r="V25">
        <f t="shared" ca="1" si="1"/>
        <v>1</v>
      </c>
      <c r="W25">
        <f ca="1">IF(V25=0,"",COUNTIF($V$2:V25,"&gt;0"))</f>
        <v>24</v>
      </c>
      <c r="X25" t="str">
        <f t="shared" ca="1" si="2"/>
        <v>MSIDE Kit</v>
      </c>
    </row>
    <row r="26" spans="1:24">
      <c r="A26" s="13"/>
      <c r="B26" s="14"/>
      <c r="C26" s="14"/>
      <c r="D26" s="14"/>
      <c r="E26" s="14"/>
      <c r="F26" s="14"/>
      <c r="G26" s="14"/>
      <c r="H26" s="24"/>
      <c r="I26" s="14"/>
      <c r="J26" s="14"/>
      <c r="K26" s="14"/>
      <c r="L26" s="14" t="str">
        <f>IFERROR(VLOOKUP(J26,Table1[],3,0),"")</f>
        <v/>
      </c>
      <c r="M26" s="14"/>
      <c r="N26" t="str">
        <f>IFERROR(VLOOKUP(J26,Table1[],2,0),"")</f>
        <v/>
      </c>
      <c r="O26" t="str">
        <f>IFERROR(VLOOKUP(J26,Table1[],4,0),"")</f>
        <v/>
      </c>
      <c r="P26" t="str">
        <f t="shared" si="0"/>
        <v/>
      </c>
      <c r="U26" t="s">
        <v>77</v>
      </c>
      <c r="V26">
        <f t="shared" ca="1" si="1"/>
        <v>1</v>
      </c>
      <c r="W26">
        <f ca="1">IF(V26=0,"",COUNTIF($V$2:V26,"&gt;0"))</f>
        <v>25</v>
      </c>
      <c r="X26" t="str">
        <f t="shared" ca="1" si="2"/>
        <v>Rolator Size 1 (Child)</v>
      </c>
    </row>
    <row r="27" spans="1:24">
      <c r="A27" s="15"/>
      <c r="B27" s="16"/>
      <c r="C27" s="16"/>
      <c r="D27" s="16"/>
      <c r="E27" s="16"/>
      <c r="F27" s="16"/>
      <c r="G27" s="16"/>
      <c r="H27" s="25"/>
      <c r="I27" s="16"/>
      <c r="J27" s="16"/>
      <c r="K27" s="16"/>
      <c r="L27" s="14" t="str">
        <f>IFERROR(VLOOKUP(J27,Table1[],3,0),"")</f>
        <v/>
      </c>
      <c r="M27" s="16"/>
      <c r="N27" t="str">
        <f>IFERROR(VLOOKUP(J27,Table1[],2,0),"")</f>
        <v/>
      </c>
      <c r="O27" t="str">
        <f>IFERROR(VLOOKUP(J27,Table1[],4,0),"")</f>
        <v/>
      </c>
      <c r="P27" t="str">
        <f t="shared" si="0"/>
        <v/>
      </c>
      <c r="U27" t="s">
        <v>78</v>
      </c>
      <c r="V27">
        <f t="shared" ca="1" si="1"/>
        <v>1</v>
      </c>
      <c r="W27">
        <f ca="1">IF(V27=0,"",COUNTIF($V$2:V27,"&gt;0"))</f>
        <v>26</v>
      </c>
      <c r="X27" t="str">
        <f t="shared" ca="1" si="2"/>
        <v>Rolator Size 2 (Adult)</v>
      </c>
    </row>
    <row r="28" spans="1:24">
      <c r="A28" s="13"/>
      <c r="B28" s="14"/>
      <c r="C28" s="14"/>
      <c r="D28" s="14"/>
      <c r="E28" s="14"/>
      <c r="F28" s="14"/>
      <c r="G28" s="14"/>
      <c r="H28" s="24"/>
      <c r="I28" s="14"/>
      <c r="J28" s="14"/>
      <c r="K28" s="14"/>
      <c r="L28" s="14" t="str">
        <f>IFERROR(VLOOKUP(J28,Table1[],3,0),"")</f>
        <v/>
      </c>
      <c r="M28" s="14"/>
      <c r="N28" t="str">
        <f>IFERROR(VLOOKUP(J28,Table1[],2,0),"")</f>
        <v/>
      </c>
      <c r="O28" t="str">
        <f>IFERROR(VLOOKUP(J28,Table1[],4,0),"")</f>
        <v/>
      </c>
      <c r="P28" t="str">
        <f t="shared" si="0"/>
        <v/>
      </c>
      <c r="U28" t="s">
        <v>79</v>
      </c>
      <c r="V28">
        <f t="shared" ca="1" si="1"/>
        <v>1</v>
      </c>
      <c r="W28">
        <f ca="1">IF(V28=0,"",COUNTIF($V$2:V28,"&gt;0"))</f>
        <v>27</v>
      </c>
      <c r="X28" t="str">
        <f t="shared" ca="1" si="2"/>
        <v>Wheel Chair Folding Child Size (MAMTA)</v>
      </c>
    </row>
    <row r="29" spans="1:24">
      <c r="A29" s="15"/>
      <c r="B29" s="16"/>
      <c r="C29" s="16"/>
      <c r="D29" s="16"/>
      <c r="E29" s="16"/>
      <c r="F29" s="16"/>
      <c r="G29" s="16"/>
      <c r="H29" s="25"/>
      <c r="I29" s="16"/>
      <c r="J29" s="16"/>
      <c r="K29" s="16"/>
      <c r="L29" s="14" t="str">
        <f>IFERROR(VLOOKUP(J29,Table1[],3,0),"")</f>
        <v/>
      </c>
      <c r="M29" s="16"/>
      <c r="N29" t="str">
        <f>IFERROR(VLOOKUP(J29,Table1[],2,0),"")</f>
        <v/>
      </c>
      <c r="O29" t="str">
        <f>IFERROR(VLOOKUP(J29,Table1[],4,0),"")</f>
        <v/>
      </c>
      <c r="P29" t="str">
        <f t="shared" si="0"/>
        <v/>
      </c>
      <c r="U29" t="s">
        <v>80</v>
      </c>
      <c r="V29">
        <f t="shared" ca="1" si="1"/>
        <v>1</v>
      </c>
      <c r="W29">
        <f ca="1">IF(V29=0,"",COUNTIF($V$2:V29,"&gt;0"))</f>
        <v>28</v>
      </c>
      <c r="X29" t="str">
        <f t="shared" ca="1" si="2"/>
        <v>Wheel Chair Folding Standard Model Adult Size</v>
      </c>
    </row>
    <row r="30" spans="1:24">
      <c r="A30" s="13"/>
      <c r="B30" s="14"/>
      <c r="C30" s="14"/>
      <c r="D30" s="14"/>
      <c r="E30" s="14"/>
      <c r="F30" s="14"/>
      <c r="G30" s="14"/>
      <c r="H30" s="24"/>
      <c r="I30" s="14"/>
      <c r="J30" s="14"/>
      <c r="K30" s="14"/>
      <c r="L30" s="14" t="str">
        <f>IFERROR(VLOOKUP(J30,Table1[],3,0),"")</f>
        <v/>
      </c>
      <c r="M30" s="14"/>
      <c r="N30" t="str">
        <f>IFERROR(VLOOKUP(J30,Table1[],2,0),"")</f>
        <v/>
      </c>
      <c r="O30" t="str">
        <f>IFERROR(VLOOKUP(J30,Table1[],4,0),"")</f>
        <v/>
      </c>
      <c r="P30" t="str">
        <f t="shared" si="0"/>
        <v/>
      </c>
      <c r="U30" t="s">
        <v>81</v>
      </c>
      <c r="V30">
        <f t="shared" ca="1" si="1"/>
        <v>1</v>
      </c>
      <c r="W30">
        <f ca="1">IF(V30=0,"",COUNTIF($V$2:V30,"&gt;0"))</f>
        <v>29</v>
      </c>
      <c r="X30" t="str">
        <f t="shared" ca="1" si="2"/>
        <v>Tricycle Conventional Right Hand Drive (STUTI)</v>
      </c>
    </row>
    <row r="31" spans="1:24">
      <c r="A31" s="15"/>
      <c r="B31" s="16"/>
      <c r="C31" s="16"/>
      <c r="D31" s="16"/>
      <c r="E31" s="16"/>
      <c r="F31" s="16"/>
      <c r="G31" s="16"/>
      <c r="H31" s="25"/>
      <c r="I31" s="16"/>
      <c r="J31" s="16"/>
      <c r="K31" s="16"/>
      <c r="L31" s="14" t="str">
        <f>IFERROR(VLOOKUP(J31,Table1[],3,0),"")</f>
        <v/>
      </c>
      <c r="M31" s="16"/>
      <c r="N31" t="str">
        <f>IFERROR(VLOOKUP(J31,Table1[],2,0),"")</f>
        <v/>
      </c>
      <c r="O31" t="str">
        <f>IFERROR(VLOOKUP(J31,Table1[],4,0),"")</f>
        <v/>
      </c>
      <c r="P31" t="str">
        <f t="shared" si="0"/>
        <v/>
      </c>
      <c r="U31" t="s">
        <v>82</v>
      </c>
      <c r="V31">
        <f t="shared" ca="1" si="1"/>
        <v>1</v>
      </c>
      <c r="W31">
        <f ca="1">IF(V31=0,"",COUNTIF($V$2:V31,"&gt;0"))</f>
        <v>30</v>
      </c>
      <c r="X31" t="str">
        <f t="shared" ca="1" si="2"/>
        <v>Tricycle Conventional Hand Propelled (HAMRIHI)</v>
      </c>
    </row>
    <row r="32" spans="1:24">
      <c r="A32" s="13"/>
      <c r="B32" s="14"/>
      <c r="C32" s="14"/>
      <c r="D32" s="14"/>
      <c r="E32" s="14"/>
      <c r="F32" s="14"/>
      <c r="G32" s="14"/>
      <c r="H32" s="24"/>
      <c r="I32" s="14"/>
      <c r="J32" s="14"/>
      <c r="K32" s="14"/>
      <c r="L32" s="14" t="str">
        <f>IFERROR(VLOOKUP(J32,Table1[],3,0),"")</f>
        <v/>
      </c>
      <c r="M32" s="14"/>
      <c r="N32" t="str">
        <f>IFERROR(VLOOKUP(J32,Table1[],2,0),"")</f>
        <v/>
      </c>
      <c r="O32" t="str">
        <f>IFERROR(VLOOKUP(J32,Table1[],4,0),"")</f>
        <v/>
      </c>
      <c r="P32" t="str">
        <f t="shared" si="0"/>
        <v/>
      </c>
      <c r="U32" t="s">
        <v>129</v>
      </c>
      <c r="V32">
        <f t="shared" ca="1" si="1"/>
        <v>1</v>
      </c>
      <c r="W32">
        <f ca="1">IF(V32=0,"",COUNTIF($V$2:V32,"&gt;0"))</f>
        <v>31</v>
      </c>
      <c r="X32" t="str">
        <f t="shared" ca="1" si="2"/>
        <v>U/L BTE Digital Type Hearing Aid + 6 Pack of 13 Zinc-Air Battery</v>
      </c>
    </row>
    <row r="33" spans="1:24">
      <c r="A33" s="15"/>
      <c r="B33" s="16"/>
      <c r="C33" s="16"/>
      <c r="D33" s="16"/>
      <c r="E33" s="16"/>
      <c r="F33" s="16"/>
      <c r="G33" s="16"/>
      <c r="H33" s="25"/>
      <c r="I33" s="16"/>
      <c r="J33" s="16"/>
      <c r="K33" s="16"/>
      <c r="L33" s="14" t="str">
        <f>IFERROR(VLOOKUP(J33,Table1[],3,0),"")</f>
        <v/>
      </c>
      <c r="M33" s="16"/>
      <c r="N33" t="str">
        <f>IFERROR(VLOOKUP(J33,Table1[],2,0),"")</f>
        <v/>
      </c>
      <c r="O33" t="str">
        <f>IFERROR(VLOOKUP(J33,Table1[],4,0),"")</f>
        <v/>
      </c>
      <c r="P33" t="str">
        <f t="shared" si="0"/>
        <v/>
      </c>
      <c r="U33" t="s">
        <v>130</v>
      </c>
      <c r="V33">
        <f t="shared" ca="1" si="1"/>
        <v>1</v>
      </c>
      <c r="W33">
        <f ca="1">IF(V33=0,"",COUNTIF($V$2:V33,"&gt;0"))</f>
        <v>32</v>
      </c>
      <c r="X33" t="str">
        <f t="shared" ca="1" si="2"/>
        <v>B/L BTE Digital Type Hearing Aid + 6 Pack of 13 Zinc-Air Battery</v>
      </c>
    </row>
    <row r="34" spans="1:24">
      <c r="A34" s="13"/>
      <c r="B34" s="14"/>
      <c r="C34" s="14"/>
      <c r="D34" s="14"/>
      <c r="E34" s="14"/>
      <c r="F34" s="14"/>
      <c r="G34" s="14"/>
      <c r="H34" s="24"/>
      <c r="I34" s="14"/>
      <c r="J34" s="14"/>
      <c r="K34" s="14"/>
      <c r="L34" s="14" t="str">
        <f>IFERROR(VLOOKUP(J34,Table1[],3,0),"")</f>
        <v/>
      </c>
      <c r="M34" s="14"/>
      <c r="N34" t="str">
        <f>IFERROR(VLOOKUP(J34,Table1[],2,0),"")</f>
        <v/>
      </c>
      <c r="O34" t="str">
        <f>IFERROR(VLOOKUP(J34,Table1[],4,0),"")</f>
        <v/>
      </c>
      <c r="P34" t="str">
        <f t="shared" si="0"/>
        <v/>
      </c>
      <c r="U34" t="s">
        <v>83</v>
      </c>
      <c r="V34">
        <f t="shared" ca="1" si="1"/>
        <v>1</v>
      </c>
      <c r="W34">
        <f ca="1">IF(V34=0,"",COUNTIF($V$2:V34,"&gt;0"))</f>
        <v>33</v>
      </c>
      <c r="X34" t="str">
        <f t="shared" ca="1" si="2"/>
        <v>6 Pack of 13 Zinc-Air Battery</v>
      </c>
    </row>
    <row r="35" spans="1:24">
      <c r="A35" s="15"/>
      <c r="B35" s="16"/>
      <c r="C35" s="16"/>
      <c r="D35" s="16"/>
      <c r="E35" s="16"/>
      <c r="F35" s="16"/>
      <c r="G35" s="16"/>
      <c r="H35" s="25"/>
      <c r="I35" s="16"/>
      <c r="J35" s="16"/>
      <c r="K35" s="16"/>
      <c r="L35" s="14" t="str">
        <f>IFERROR(VLOOKUP(J35,Table1[],3,0),"")</f>
        <v/>
      </c>
      <c r="M35" s="16"/>
      <c r="N35" t="str">
        <f>IFERROR(VLOOKUP(J35,Table1[],2,0),"")</f>
        <v/>
      </c>
      <c r="O35" t="str">
        <f>IFERROR(VLOOKUP(J35,Table1[],4,0),"")</f>
        <v/>
      </c>
      <c r="P35" t="str">
        <f t="shared" si="0"/>
        <v/>
      </c>
      <c r="U35" t="s">
        <v>84</v>
      </c>
      <c r="V35">
        <f t="shared" ca="1" si="1"/>
        <v>1</v>
      </c>
      <c r="W35">
        <f ca="1">IF(V35=0,"",COUNTIF($V$2:V35,"&gt;0"))</f>
        <v>34</v>
      </c>
      <c r="X35" t="str">
        <f t="shared" ca="1" si="2"/>
        <v>Collar Cervical Flexo PU</v>
      </c>
    </row>
    <row r="36" spans="1:24">
      <c r="A36" s="13"/>
      <c r="B36" s="14"/>
      <c r="C36" s="14"/>
      <c r="D36" s="14"/>
      <c r="E36" s="14"/>
      <c r="F36" s="14"/>
      <c r="G36" s="14"/>
      <c r="H36" s="24"/>
      <c r="I36" s="14"/>
      <c r="J36" s="14"/>
      <c r="K36" s="14"/>
      <c r="L36" s="14" t="str">
        <f>IFERROR(VLOOKUP(J36,Table1[],3,0),"")</f>
        <v/>
      </c>
      <c r="M36" s="14"/>
      <c r="N36" t="str">
        <f>IFERROR(VLOOKUP(J36,Table1[],2,0),"")</f>
        <v/>
      </c>
      <c r="O36" t="str">
        <f>IFERROR(VLOOKUP(J36,Table1[],4,0),"")</f>
        <v/>
      </c>
      <c r="P36" t="str">
        <f t="shared" si="0"/>
        <v/>
      </c>
      <c r="U36" t="s">
        <v>33</v>
      </c>
      <c r="V36">
        <f t="shared" ca="1" si="1"/>
        <v>1</v>
      </c>
      <c r="W36">
        <f ca="1">IF(V36=0,"",COUNTIF($V$2:V36,"&gt;0"))</f>
        <v>35</v>
      </c>
      <c r="X36" t="str">
        <f t="shared" ca="1" si="2"/>
        <v>Ankle Foot Orthosis(AFO) Size 1</v>
      </c>
    </row>
    <row r="37" spans="1:24">
      <c r="A37" s="15"/>
      <c r="B37" s="16"/>
      <c r="C37" s="16"/>
      <c r="D37" s="16"/>
      <c r="E37" s="16"/>
      <c r="F37" s="16"/>
      <c r="G37" s="16"/>
      <c r="H37" s="25"/>
      <c r="I37" s="16"/>
      <c r="J37" s="16"/>
      <c r="K37" s="16"/>
      <c r="L37" s="14" t="str">
        <f>IFERROR(VLOOKUP(J37,Table1[],3,0),"")</f>
        <v/>
      </c>
      <c r="M37" s="16"/>
      <c r="N37" t="str">
        <f>IFERROR(VLOOKUP(J37,Table1[],2,0),"")</f>
        <v/>
      </c>
      <c r="O37" t="str">
        <f>IFERROR(VLOOKUP(J37,Table1[],4,0),"")</f>
        <v/>
      </c>
      <c r="P37" t="str">
        <f t="shared" si="0"/>
        <v/>
      </c>
      <c r="U37" t="s">
        <v>34</v>
      </c>
      <c r="V37">
        <f t="shared" ca="1" si="1"/>
        <v>1</v>
      </c>
      <c r="W37">
        <f ca="1">IF(V37=0,"",COUNTIF($V$2:V37,"&gt;0"))</f>
        <v>36</v>
      </c>
      <c r="X37" t="str">
        <f t="shared" ca="1" si="2"/>
        <v>Ankle Foot Orthosis(AFO) Size 2</v>
      </c>
    </row>
    <row r="38" spans="1:24">
      <c r="A38" s="13"/>
      <c r="B38" s="14"/>
      <c r="C38" s="14"/>
      <c r="D38" s="14"/>
      <c r="E38" s="14"/>
      <c r="F38" s="14"/>
      <c r="G38" s="14"/>
      <c r="H38" s="24"/>
      <c r="I38" s="14"/>
      <c r="J38" s="14"/>
      <c r="K38" s="14"/>
      <c r="L38" s="14" t="str">
        <f>IFERROR(VLOOKUP(J38,Table1[],3,0),"")</f>
        <v/>
      </c>
      <c r="M38" s="14"/>
      <c r="N38" t="str">
        <f>IFERROR(VLOOKUP(J38,Table1[],2,0),"")</f>
        <v/>
      </c>
      <c r="O38" t="str">
        <f>IFERROR(VLOOKUP(J38,Table1[],4,0),"")</f>
        <v/>
      </c>
      <c r="P38" t="str">
        <f t="shared" si="0"/>
        <v/>
      </c>
      <c r="U38" t="s">
        <v>35</v>
      </c>
      <c r="V38">
        <f t="shared" ca="1" si="1"/>
        <v>1</v>
      </c>
      <c r="W38">
        <f ca="1">IF(V38=0,"",COUNTIF($V$2:V38,"&gt;0"))</f>
        <v>37</v>
      </c>
      <c r="X38" t="str">
        <f t="shared" ca="1" si="2"/>
        <v>Ankle Foot Orthosis(AFO) Size 3</v>
      </c>
    </row>
    <row r="39" spans="1:24">
      <c r="A39" s="15"/>
      <c r="B39" s="16"/>
      <c r="C39" s="16"/>
      <c r="D39" s="16"/>
      <c r="E39" s="16"/>
      <c r="F39" s="16"/>
      <c r="G39" s="16"/>
      <c r="H39" s="25"/>
      <c r="I39" s="16"/>
      <c r="J39" s="16"/>
      <c r="K39" s="16"/>
      <c r="L39" s="14" t="str">
        <f>IFERROR(VLOOKUP(J39,Table1[],3,0),"")</f>
        <v/>
      </c>
      <c r="M39" s="16"/>
      <c r="N39" t="str">
        <f>IFERROR(VLOOKUP(J39,Table1[],2,0),"")</f>
        <v/>
      </c>
      <c r="O39" t="str">
        <f>IFERROR(VLOOKUP(J39,Table1[],4,0),"")</f>
        <v/>
      </c>
      <c r="P39" t="str">
        <f t="shared" si="0"/>
        <v/>
      </c>
      <c r="U39" t="s">
        <v>29</v>
      </c>
      <c r="V39">
        <f t="shared" ca="1" si="1"/>
        <v>1</v>
      </c>
      <c r="W39">
        <f ca="1">IF(V39=0,"",COUNTIF($V$2:V39,"&gt;0"))</f>
        <v>38</v>
      </c>
      <c r="X39" t="str">
        <f t="shared" ca="1" si="2"/>
        <v>B/L Ankle Foot Orthosis(AFO) Size 1</v>
      </c>
    </row>
    <row r="40" spans="1:24">
      <c r="A40" s="13"/>
      <c r="B40" s="14"/>
      <c r="C40" s="14"/>
      <c r="D40" s="14"/>
      <c r="E40" s="14"/>
      <c r="F40" s="14"/>
      <c r="G40" s="14"/>
      <c r="H40" s="24"/>
      <c r="I40" s="14"/>
      <c r="J40" s="14"/>
      <c r="K40" s="14"/>
      <c r="L40" s="14" t="str">
        <f>IFERROR(VLOOKUP(J40,Table1[],3,0),"")</f>
        <v/>
      </c>
      <c r="M40" s="14"/>
      <c r="N40" t="str">
        <f>IFERROR(VLOOKUP(J40,Table1[],2,0),"")</f>
        <v/>
      </c>
      <c r="O40" t="str">
        <f>IFERROR(VLOOKUP(J40,Table1[],4,0),"")</f>
        <v/>
      </c>
      <c r="P40" t="str">
        <f t="shared" si="0"/>
        <v/>
      </c>
      <c r="U40" t="s">
        <v>30</v>
      </c>
      <c r="V40">
        <f t="shared" ca="1" si="1"/>
        <v>1</v>
      </c>
      <c r="W40">
        <f ca="1">IF(V40=0,"",COUNTIF($V$2:V40,"&gt;0"))</f>
        <v>39</v>
      </c>
      <c r="X40" t="str">
        <f t="shared" ca="1" si="2"/>
        <v>B/L Ankle Foot Orthosis(AFO) Size 2</v>
      </c>
    </row>
    <row r="41" spans="1:24">
      <c r="A41" s="15"/>
      <c r="B41" s="16"/>
      <c r="C41" s="16"/>
      <c r="D41" s="16"/>
      <c r="E41" s="16"/>
      <c r="F41" s="16"/>
      <c r="G41" s="16"/>
      <c r="H41" s="25"/>
      <c r="I41" s="16"/>
      <c r="J41" s="16"/>
      <c r="K41" s="16"/>
      <c r="L41" s="14" t="str">
        <f>IFERROR(VLOOKUP(J41,Table1[],3,0),"")</f>
        <v/>
      </c>
      <c r="M41" s="16"/>
      <c r="N41" t="str">
        <f>IFERROR(VLOOKUP(J41,Table1[],2,0),"")</f>
        <v/>
      </c>
      <c r="O41" t="str">
        <f>IFERROR(VLOOKUP(J41,Table1[],4,0),"")</f>
        <v/>
      </c>
      <c r="P41" t="str">
        <f t="shared" si="0"/>
        <v/>
      </c>
      <c r="U41" t="s">
        <v>85</v>
      </c>
      <c r="V41">
        <f t="shared" ca="1" si="1"/>
        <v>1</v>
      </c>
      <c r="W41">
        <f ca="1">IF(V41=0,"",COUNTIF($V$2:V41,"&gt;0"))</f>
        <v>40</v>
      </c>
      <c r="X41" t="str">
        <f t="shared" ca="1" si="2"/>
        <v>B/L Ankle Foot Orthosis (AFO) Size 3</v>
      </c>
    </row>
    <row r="42" spans="1:24">
      <c r="A42" s="21"/>
      <c r="B42" s="14"/>
      <c r="C42" s="14"/>
      <c r="D42" s="14"/>
      <c r="E42" s="14"/>
      <c r="F42" s="14"/>
      <c r="G42" s="14"/>
      <c r="H42" s="24"/>
      <c r="I42" s="14"/>
      <c r="J42" s="14"/>
      <c r="K42" s="14"/>
      <c r="L42" s="14" t="str">
        <f>IFERROR(VLOOKUP(J42,Table1[],3,0),"")</f>
        <v/>
      </c>
      <c r="M42" s="14"/>
      <c r="N42" t="str">
        <f>IFERROR(VLOOKUP(J42,Table1[],2,0),"")</f>
        <v/>
      </c>
      <c r="O42" t="str">
        <f>IFERROR(VLOOKUP(J42,Table1[],4,0),"")</f>
        <v/>
      </c>
      <c r="P42" t="str">
        <f t="shared" si="0"/>
        <v/>
      </c>
      <c r="U42" t="s">
        <v>86</v>
      </c>
      <c r="V42">
        <f t="shared" ca="1" si="1"/>
        <v>1</v>
      </c>
      <c r="W42">
        <f ca="1">IF(V42=0,"",COUNTIF($V$2:V42,"&gt;0"))</f>
        <v>41</v>
      </c>
      <c r="X42" t="str">
        <f t="shared" ca="1" si="2"/>
        <v>Knee Ankle Foot Orthosis (KAFO) w/o Knee Joint</v>
      </c>
    </row>
    <row r="43" spans="1:24">
      <c r="A43" s="22"/>
      <c r="B43" s="16"/>
      <c r="C43" s="16"/>
      <c r="D43" s="16"/>
      <c r="E43" s="16"/>
      <c r="F43" s="16"/>
      <c r="G43" s="16"/>
      <c r="H43" s="25"/>
      <c r="I43" s="16"/>
      <c r="J43" s="16"/>
      <c r="K43" s="16"/>
      <c r="L43" s="14" t="str">
        <f>IFERROR(VLOOKUP(J43,Table1[],3,0),"")</f>
        <v/>
      </c>
      <c r="M43" s="16"/>
      <c r="N43" t="str">
        <f>IFERROR(VLOOKUP(J43,Table1[],2,0),"")</f>
        <v/>
      </c>
      <c r="O43" t="str">
        <f>IFERROR(VLOOKUP(J43,Table1[],4,0),"")</f>
        <v/>
      </c>
      <c r="P43" t="str">
        <f t="shared" si="0"/>
        <v/>
      </c>
      <c r="U43" t="s">
        <v>87</v>
      </c>
      <c r="V43">
        <f t="shared" ca="1" si="1"/>
        <v>1</v>
      </c>
      <c r="W43">
        <f ca="1">IF(V43=0,"",COUNTIF($V$2:V43,"&gt;0"))</f>
        <v>42</v>
      </c>
      <c r="X43" t="str">
        <f t="shared" ca="1" si="2"/>
        <v>Knee Ankle Foot Orthosis (KAFO) Size 1</v>
      </c>
    </row>
    <row r="44" spans="1:24">
      <c r="A44" s="17"/>
      <c r="B44" s="14"/>
      <c r="C44" s="14"/>
      <c r="D44" s="14"/>
      <c r="E44" s="14"/>
      <c r="F44" s="14"/>
      <c r="G44" s="14"/>
      <c r="H44" s="24"/>
      <c r="I44" s="14"/>
      <c r="J44" s="14"/>
      <c r="K44" s="14"/>
      <c r="L44" s="14" t="str">
        <f>IFERROR(VLOOKUP(J44,Table1[],3,0),"")</f>
        <v/>
      </c>
      <c r="M44" s="14"/>
      <c r="N44" t="str">
        <f>IFERROR(VLOOKUP(J44,Table1[],2,0),"")</f>
        <v/>
      </c>
      <c r="O44" t="str">
        <f>IFERROR(VLOOKUP(J44,Table1[],4,0),"")</f>
        <v/>
      </c>
      <c r="P44" t="str">
        <f t="shared" si="0"/>
        <v/>
      </c>
      <c r="U44" t="s">
        <v>88</v>
      </c>
      <c r="V44">
        <f t="shared" ca="1" si="1"/>
        <v>1</v>
      </c>
      <c r="W44">
        <f ca="1">IF(V44=0,"",COUNTIF($V$2:V44,"&gt;0"))</f>
        <v>43</v>
      </c>
      <c r="X44" t="str">
        <f t="shared" ca="1" si="2"/>
        <v>Knee Ankle Foot Orthosis (KAFO) Size 2</v>
      </c>
    </row>
    <row r="45" spans="1:24">
      <c r="A45" s="18"/>
      <c r="B45" s="16"/>
      <c r="C45" s="16"/>
      <c r="D45" s="16"/>
      <c r="E45" s="16"/>
      <c r="F45" s="16"/>
      <c r="G45" s="16"/>
      <c r="H45" s="25"/>
      <c r="I45" s="16"/>
      <c r="J45" s="16"/>
      <c r="K45" s="16"/>
      <c r="L45" s="14" t="str">
        <f>IFERROR(VLOOKUP(J45,Table1[],3,0),"")</f>
        <v/>
      </c>
      <c r="M45" s="16"/>
      <c r="N45" t="str">
        <f>IFERROR(VLOOKUP(J45,Table1[],2,0),"")</f>
        <v/>
      </c>
      <c r="O45" t="str">
        <f>IFERROR(VLOOKUP(J45,Table1[],4,0),"")</f>
        <v/>
      </c>
      <c r="P45" t="str">
        <f t="shared" si="0"/>
        <v/>
      </c>
      <c r="U45" t="s">
        <v>89</v>
      </c>
      <c r="V45">
        <f t="shared" ca="1" si="1"/>
        <v>1</v>
      </c>
      <c r="W45">
        <f ca="1">IF(V45=0,"",COUNTIF($V$2:V45,"&gt;0"))</f>
        <v>44</v>
      </c>
      <c r="X45" t="str">
        <f t="shared" ca="1" si="2"/>
        <v>Knee Ankle Foot Orthosis (KAFO) Size 3</v>
      </c>
    </row>
    <row r="46" spans="1:24">
      <c r="A46" s="17"/>
      <c r="B46" s="14"/>
      <c r="C46" s="14"/>
      <c r="D46" s="14"/>
      <c r="E46" s="14"/>
      <c r="F46" s="14"/>
      <c r="G46" s="14"/>
      <c r="H46" s="24"/>
      <c r="I46" s="14"/>
      <c r="J46" s="14"/>
      <c r="K46" s="14"/>
      <c r="L46" s="14" t="str">
        <f>IFERROR(VLOOKUP(J46,Table1[],3,0),"")</f>
        <v/>
      </c>
      <c r="M46" s="14"/>
      <c r="N46" t="str">
        <f>IFERROR(VLOOKUP(J46,Table1[],2,0),"")</f>
        <v/>
      </c>
      <c r="O46" t="str">
        <f>IFERROR(VLOOKUP(J46,Table1[],4,0),"")</f>
        <v/>
      </c>
      <c r="P46" t="str">
        <f t="shared" si="0"/>
        <v/>
      </c>
      <c r="U46" t="s">
        <v>90</v>
      </c>
      <c r="V46">
        <f t="shared" ca="1" si="1"/>
        <v>1</v>
      </c>
      <c r="W46">
        <f ca="1">IF(V46=0,"",COUNTIF($V$2:V46,"&gt;0"))</f>
        <v>45</v>
      </c>
      <c r="X46" t="str">
        <f t="shared" ca="1" si="2"/>
        <v xml:space="preserve">B/L Knee Ankle Foot Orthosis (KAFO) w/o Knee Joint </v>
      </c>
    </row>
    <row r="47" spans="1:24">
      <c r="A47" s="18"/>
      <c r="B47" s="16"/>
      <c r="C47" s="16"/>
      <c r="D47" s="16"/>
      <c r="E47" s="16"/>
      <c r="F47" s="16"/>
      <c r="G47" s="16"/>
      <c r="H47" s="25"/>
      <c r="I47" s="16"/>
      <c r="J47" s="16"/>
      <c r="K47" s="16"/>
      <c r="L47" s="14" t="str">
        <f>IFERROR(VLOOKUP(J47,Table1[],3,0),"")</f>
        <v/>
      </c>
      <c r="M47" s="16"/>
      <c r="N47" t="str">
        <f>IFERROR(VLOOKUP(J47,Table1[],2,0),"")</f>
        <v/>
      </c>
      <c r="O47" t="str">
        <f>IFERROR(VLOOKUP(J47,Table1[],4,0),"")</f>
        <v/>
      </c>
      <c r="P47" t="str">
        <f t="shared" si="0"/>
        <v/>
      </c>
      <c r="U47" t="s">
        <v>91</v>
      </c>
      <c r="V47">
        <f t="shared" ca="1" si="1"/>
        <v>1</v>
      </c>
      <c r="W47">
        <f ca="1">IF(V47=0,"",COUNTIF($V$2:V47,"&gt;0"))</f>
        <v>46</v>
      </c>
      <c r="X47" t="str">
        <f t="shared" ca="1" si="2"/>
        <v>B/L Knee Ankle Foot Orthosis (KAFO) Size 1</v>
      </c>
    </row>
    <row r="48" spans="1:24">
      <c r="A48" s="17"/>
      <c r="B48" s="14"/>
      <c r="C48" s="14"/>
      <c r="D48" s="14"/>
      <c r="E48" s="14"/>
      <c r="F48" s="14"/>
      <c r="G48" s="14"/>
      <c r="H48" s="24"/>
      <c r="I48" s="14"/>
      <c r="J48" s="14"/>
      <c r="K48" s="14"/>
      <c r="L48" s="14" t="str">
        <f>IFERROR(VLOOKUP(J48,Table1[],3,0),"")</f>
        <v/>
      </c>
      <c r="M48" s="14"/>
      <c r="N48" t="str">
        <f>IFERROR(VLOOKUP(J48,Table1[],2,0),"")</f>
        <v/>
      </c>
      <c r="O48" t="str">
        <f>IFERROR(VLOOKUP(J48,Table1[],4,0),"")</f>
        <v/>
      </c>
      <c r="P48" t="str">
        <f t="shared" si="0"/>
        <v/>
      </c>
      <c r="U48" t="s">
        <v>92</v>
      </c>
      <c r="V48">
        <f t="shared" ca="1" si="1"/>
        <v>1</v>
      </c>
      <c r="W48">
        <f ca="1">IF(V48=0,"",COUNTIF($V$2:V48,"&gt;0"))</f>
        <v>47</v>
      </c>
      <c r="X48" t="str">
        <f t="shared" ca="1" si="2"/>
        <v>B/L Knee Ankle Foot Orthosis (KAFO) Size 2</v>
      </c>
    </row>
    <row r="49" spans="1:24">
      <c r="A49" s="18"/>
      <c r="B49" s="16"/>
      <c r="C49" s="16"/>
      <c r="D49" s="16"/>
      <c r="E49" s="16"/>
      <c r="F49" s="16"/>
      <c r="G49" s="16"/>
      <c r="H49" s="25"/>
      <c r="I49" s="16"/>
      <c r="J49" s="16"/>
      <c r="K49" s="16"/>
      <c r="L49" s="14" t="str">
        <f>IFERROR(VLOOKUP(J49,Table1[],3,0),"")</f>
        <v/>
      </c>
      <c r="M49" s="16"/>
      <c r="N49" t="str">
        <f>IFERROR(VLOOKUP(J49,Table1[],2,0),"")</f>
        <v/>
      </c>
      <c r="O49" t="str">
        <f>IFERROR(VLOOKUP(J49,Table1[],4,0),"")</f>
        <v/>
      </c>
      <c r="P49" t="str">
        <f t="shared" si="0"/>
        <v/>
      </c>
      <c r="U49" t="s">
        <v>93</v>
      </c>
      <c r="V49">
        <f t="shared" ca="1" si="1"/>
        <v>1</v>
      </c>
      <c r="W49">
        <f ca="1">IF(V49=0,"",COUNTIF($V$2:V49,"&gt;0"))</f>
        <v>48</v>
      </c>
      <c r="X49" t="str">
        <f t="shared" ca="1" si="2"/>
        <v>B/L Knee Ankle Foot Orthosis (KAFO) Size 3</v>
      </c>
    </row>
    <row r="50" spans="1:24">
      <c r="A50" s="17"/>
      <c r="B50" s="14"/>
      <c r="C50" s="14"/>
      <c r="D50" s="14"/>
      <c r="E50" s="14"/>
      <c r="F50" s="14"/>
      <c r="G50" s="14"/>
      <c r="H50" s="24"/>
      <c r="I50" s="14"/>
      <c r="J50" s="14"/>
      <c r="K50" s="14"/>
      <c r="L50" s="14" t="str">
        <f>IFERROR(VLOOKUP(J50,Table1[],3,0),"")</f>
        <v/>
      </c>
      <c r="M50" s="14"/>
      <c r="N50" t="str">
        <f>IFERROR(VLOOKUP(J50,Table1[],2,0),"")</f>
        <v/>
      </c>
      <c r="O50" t="str">
        <f>IFERROR(VLOOKUP(J50,Table1[],4,0),"")</f>
        <v/>
      </c>
      <c r="P50" t="str">
        <f t="shared" si="0"/>
        <v/>
      </c>
      <c r="U50" t="s">
        <v>94</v>
      </c>
      <c r="V50">
        <f t="shared" ca="1" si="1"/>
        <v>1</v>
      </c>
      <c r="W50">
        <f ca="1">IF(V50=0,"",COUNTIF($V$2:V50,"&gt;0"))</f>
        <v>49</v>
      </c>
      <c r="X50" t="str">
        <f t="shared" ca="1" si="2"/>
        <v>Hip Knee Ankle Foot Orthosis (HKAFO) w/o Knee Joint</v>
      </c>
    </row>
    <row r="51" spans="1:24">
      <c r="A51" s="18"/>
      <c r="B51" s="16"/>
      <c r="C51" s="16"/>
      <c r="D51" s="16"/>
      <c r="E51" s="16"/>
      <c r="F51" s="16"/>
      <c r="G51" s="16"/>
      <c r="H51" s="25"/>
      <c r="I51" s="16"/>
      <c r="J51" s="16"/>
      <c r="K51" s="16"/>
      <c r="L51" s="14" t="str">
        <f>IFERROR(VLOOKUP(J51,Table1[],3,0),"")</f>
        <v/>
      </c>
      <c r="M51" s="16"/>
      <c r="N51" t="str">
        <f>IFERROR(VLOOKUP(J51,Table1[],2,0),"")</f>
        <v/>
      </c>
      <c r="O51" t="str">
        <f>IFERROR(VLOOKUP(J51,Table1[],4,0),"")</f>
        <v/>
      </c>
      <c r="P51" t="str">
        <f t="shared" si="0"/>
        <v/>
      </c>
      <c r="U51" t="s">
        <v>95</v>
      </c>
      <c r="V51">
        <f t="shared" ca="1" si="1"/>
        <v>1</v>
      </c>
      <c r="W51">
        <f ca="1">IF(V51=0,"",COUNTIF($V$2:V51,"&gt;0"))</f>
        <v>50</v>
      </c>
      <c r="X51" t="str">
        <f t="shared" ca="1" si="2"/>
        <v>Hip Knee Ankle Foot Orthosis (HKAFO) Size 1</v>
      </c>
    </row>
    <row r="52" spans="1:24">
      <c r="A52" s="17"/>
      <c r="B52" s="14"/>
      <c r="C52" s="14"/>
      <c r="D52" s="14"/>
      <c r="E52" s="14"/>
      <c r="F52" s="14"/>
      <c r="G52" s="14"/>
      <c r="H52" s="24"/>
      <c r="I52" s="14"/>
      <c r="J52" s="14"/>
      <c r="K52" s="14"/>
      <c r="L52" s="14" t="str">
        <f>IFERROR(VLOOKUP(J52,Table1[],3,0),"")</f>
        <v/>
      </c>
      <c r="M52" s="14"/>
      <c r="N52" t="str">
        <f>IFERROR(VLOOKUP(J52,Table1[],2,0),"")</f>
        <v/>
      </c>
      <c r="O52" t="str">
        <f>IFERROR(VLOOKUP(J52,Table1[],4,0),"")</f>
        <v/>
      </c>
      <c r="P52" t="str">
        <f t="shared" si="0"/>
        <v/>
      </c>
      <c r="U52" t="s">
        <v>96</v>
      </c>
      <c r="V52">
        <f t="shared" ca="1" si="1"/>
        <v>1</v>
      </c>
      <c r="W52">
        <f ca="1">IF(V52=0,"",COUNTIF($V$2:V52,"&gt;0"))</f>
        <v>51</v>
      </c>
      <c r="X52" t="str">
        <f t="shared" ca="1" si="2"/>
        <v>Hip Knee Ankle Foot Orthosis (HKAFO) Size 2</v>
      </c>
    </row>
    <row r="53" spans="1:24">
      <c r="A53" s="18"/>
      <c r="B53" s="16"/>
      <c r="C53" s="16"/>
      <c r="D53" s="16"/>
      <c r="E53" s="16"/>
      <c r="F53" s="16"/>
      <c r="G53" s="16"/>
      <c r="H53" s="25"/>
      <c r="I53" s="16"/>
      <c r="J53" s="16"/>
      <c r="K53" s="16"/>
      <c r="L53" s="14" t="str">
        <f>IFERROR(VLOOKUP(J53,Table1[],3,0),"")</f>
        <v/>
      </c>
      <c r="M53" s="16"/>
      <c r="N53" t="str">
        <f>IFERROR(VLOOKUP(J53,Table1[],2,0),"")</f>
        <v/>
      </c>
      <c r="O53" t="str">
        <f>IFERROR(VLOOKUP(J53,Table1[],4,0),"")</f>
        <v/>
      </c>
      <c r="P53" t="str">
        <f t="shared" si="0"/>
        <v/>
      </c>
      <c r="U53" t="s">
        <v>97</v>
      </c>
      <c r="V53">
        <f t="shared" ca="1" si="1"/>
        <v>1</v>
      </c>
      <c r="W53">
        <f ca="1">IF(V53=0,"",COUNTIF($V$2:V53,"&gt;0"))</f>
        <v>52</v>
      </c>
      <c r="X53" t="str">
        <f t="shared" ca="1" si="2"/>
        <v>Hip Knee Ankle Foot Orthosis (HKAFO) Size 3</v>
      </c>
    </row>
    <row r="54" spans="1:24">
      <c r="A54" s="17"/>
      <c r="B54" s="14"/>
      <c r="C54" s="14"/>
      <c r="D54" s="14"/>
      <c r="E54" s="14"/>
      <c r="F54" s="14"/>
      <c r="G54" s="14"/>
      <c r="H54" s="24"/>
      <c r="I54" s="14"/>
      <c r="J54" s="14"/>
      <c r="K54" s="14"/>
      <c r="L54" s="14" t="str">
        <f>IFERROR(VLOOKUP(J54,Table1[],3,0),"")</f>
        <v/>
      </c>
      <c r="M54" s="14"/>
      <c r="N54" t="str">
        <f>IFERROR(VLOOKUP(J54,Table1[],2,0),"")</f>
        <v/>
      </c>
      <c r="O54" t="str">
        <f>IFERROR(VLOOKUP(J54,Table1[],4,0),"")</f>
        <v/>
      </c>
      <c r="P54" t="str">
        <f t="shared" si="0"/>
        <v/>
      </c>
      <c r="U54" t="s">
        <v>98</v>
      </c>
      <c r="V54">
        <f t="shared" ca="1" si="1"/>
        <v>1</v>
      </c>
      <c r="W54">
        <f ca="1">IF(V54=0,"",COUNTIF($V$2:V54,"&gt;0"))</f>
        <v>53</v>
      </c>
      <c r="X54" t="str">
        <f t="shared" ca="1" si="2"/>
        <v>B/L Hip Knee Ankle Foot Orthosis (HKAFO) w/o Knee Joint</v>
      </c>
    </row>
    <row r="55" spans="1:24">
      <c r="A55" s="18"/>
      <c r="B55" s="16"/>
      <c r="C55" s="16"/>
      <c r="D55" s="16"/>
      <c r="E55" s="16"/>
      <c r="F55" s="16"/>
      <c r="G55" s="16"/>
      <c r="H55" s="25"/>
      <c r="I55" s="16"/>
      <c r="J55" s="16"/>
      <c r="K55" s="16"/>
      <c r="L55" s="14" t="str">
        <f>IFERROR(VLOOKUP(J55,Table1[],3,0),"")</f>
        <v/>
      </c>
      <c r="M55" s="16"/>
      <c r="N55" t="str">
        <f>IFERROR(VLOOKUP(J55,Table1[],2,0),"")</f>
        <v/>
      </c>
      <c r="O55" t="str">
        <f>IFERROR(VLOOKUP(J55,Table1[],4,0),"")</f>
        <v/>
      </c>
      <c r="P55" t="str">
        <f t="shared" si="0"/>
        <v/>
      </c>
      <c r="U55" t="s">
        <v>99</v>
      </c>
      <c r="V55">
        <f t="shared" ca="1" si="1"/>
        <v>1</v>
      </c>
      <c r="W55">
        <f ca="1">IF(V55=0,"",COUNTIF($V$2:V55,"&gt;0"))</f>
        <v>54</v>
      </c>
      <c r="X55" t="str">
        <f t="shared" ca="1" si="2"/>
        <v>B/L Hip Knee Ankle Foot Orthosis (HKAFO) Size 1</v>
      </c>
    </row>
    <row r="56" spans="1:24">
      <c r="A56" s="17"/>
      <c r="B56" s="14"/>
      <c r="C56" s="14"/>
      <c r="D56" s="14"/>
      <c r="E56" s="14"/>
      <c r="F56" s="14"/>
      <c r="G56" s="14"/>
      <c r="H56" s="24"/>
      <c r="I56" s="14"/>
      <c r="J56" s="14"/>
      <c r="K56" s="14"/>
      <c r="L56" s="14" t="str">
        <f>IFERROR(VLOOKUP(J56,Table1[],3,0),"")</f>
        <v/>
      </c>
      <c r="M56" s="14"/>
      <c r="N56" t="str">
        <f>IFERROR(VLOOKUP(J56,Table1[],2,0),"")</f>
        <v/>
      </c>
      <c r="O56" t="str">
        <f>IFERROR(VLOOKUP(J56,Table1[],4,0),"")</f>
        <v/>
      </c>
      <c r="P56" t="str">
        <f t="shared" si="0"/>
        <v/>
      </c>
      <c r="U56" t="s">
        <v>100</v>
      </c>
      <c r="V56">
        <f t="shared" ca="1" si="1"/>
        <v>1</v>
      </c>
      <c r="W56">
        <f ca="1">IF(V56=0,"",COUNTIF($V$2:V56,"&gt;0"))</f>
        <v>55</v>
      </c>
      <c r="X56" t="str">
        <f t="shared" ca="1" si="2"/>
        <v>B/L Hip Knee Ankle Foot Orthosis (HKAFO) Size 2</v>
      </c>
    </row>
    <row r="57" spans="1:24">
      <c r="A57" s="18"/>
      <c r="B57" s="16"/>
      <c r="C57" s="16"/>
      <c r="D57" s="16"/>
      <c r="E57" s="16"/>
      <c r="F57" s="16"/>
      <c r="G57" s="16"/>
      <c r="H57" s="25"/>
      <c r="I57" s="16"/>
      <c r="J57" s="16"/>
      <c r="K57" s="16"/>
      <c r="L57" s="14" t="str">
        <f>IFERROR(VLOOKUP(J57,Table1[],3,0),"")</f>
        <v/>
      </c>
      <c r="M57" s="16"/>
      <c r="N57" t="str">
        <f>IFERROR(VLOOKUP(J57,Table1[],2,0),"")</f>
        <v/>
      </c>
      <c r="O57" t="str">
        <f>IFERROR(VLOOKUP(J57,Table1[],4,0),"")</f>
        <v/>
      </c>
      <c r="P57" t="str">
        <f t="shared" si="0"/>
        <v/>
      </c>
      <c r="U57" t="s">
        <v>101</v>
      </c>
      <c r="V57">
        <f t="shared" ca="1" si="1"/>
        <v>1</v>
      </c>
      <c r="W57">
        <f ca="1">IF(V57=0,"",COUNTIF($V$2:V57,"&gt;0"))</f>
        <v>56</v>
      </c>
      <c r="X57" t="str">
        <f t="shared" ca="1" si="2"/>
        <v>B/L Hip Knee Ankle Foot Orthosis (HKAFO) Size 3</v>
      </c>
    </row>
    <row r="58" spans="1:24">
      <c r="A58" s="17"/>
      <c r="B58" s="14"/>
      <c r="C58" s="14"/>
      <c r="D58" s="14"/>
      <c r="E58" s="14"/>
      <c r="F58" s="14"/>
      <c r="G58" s="14"/>
      <c r="H58" s="24"/>
      <c r="I58" s="14"/>
      <c r="J58" s="14"/>
      <c r="K58" s="14"/>
      <c r="L58" s="14" t="str">
        <f>IFERROR(VLOOKUP(J58,Table1[],3,0),"")</f>
        <v/>
      </c>
      <c r="M58" s="14"/>
      <c r="N58" t="str">
        <f>IFERROR(VLOOKUP(J58,Table1[],2,0),"")</f>
        <v/>
      </c>
      <c r="O58" t="str">
        <f>IFERROR(VLOOKUP(J58,Table1[],4,0),"")</f>
        <v/>
      </c>
      <c r="P58" t="str">
        <f t="shared" si="0"/>
        <v/>
      </c>
      <c r="U58" t="s">
        <v>102</v>
      </c>
      <c r="V58">
        <f t="shared" ca="1" si="1"/>
        <v>1</v>
      </c>
      <c r="W58">
        <f ca="1">IF(V58=0,"",COUNTIF($V$2:V58,"&gt;0"))</f>
        <v>57</v>
      </c>
      <c r="X58" t="str">
        <f t="shared" ca="1" si="2"/>
        <v xml:space="preserve">AFO + KAFO without K Jt. -1 </v>
      </c>
    </row>
    <row r="59" spans="1:24">
      <c r="A59" s="18"/>
      <c r="B59" s="16"/>
      <c r="C59" s="16"/>
      <c r="D59" s="16"/>
      <c r="E59" s="16"/>
      <c r="F59" s="16"/>
      <c r="G59" s="16"/>
      <c r="H59" s="25"/>
      <c r="I59" s="16"/>
      <c r="J59" s="16"/>
      <c r="K59" s="16"/>
      <c r="L59" s="14" t="str">
        <f>IFERROR(VLOOKUP(J59,Table1[],3,0),"")</f>
        <v/>
      </c>
      <c r="M59" s="16"/>
      <c r="N59" t="str">
        <f>IFERROR(VLOOKUP(J59,Table1[],2,0),"")</f>
        <v/>
      </c>
      <c r="O59" t="str">
        <f>IFERROR(VLOOKUP(J59,Table1[],4,0),"")</f>
        <v/>
      </c>
      <c r="P59" t="str">
        <f t="shared" si="0"/>
        <v/>
      </c>
      <c r="U59" t="s">
        <v>103</v>
      </c>
      <c r="V59">
        <f t="shared" ca="1" si="1"/>
        <v>1</v>
      </c>
      <c r="W59">
        <f ca="1">IF(V59=0,"",COUNTIF($V$2:V59,"&gt;0"))</f>
        <v>58</v>
      </c>
      <c r="X59" t="str">
        <f t="shared" ca="1" si="2"/>
        <v>AFO + KAFO (Size-1)</v>
      </c>
    </row>
    <row r="60" spans="1:24">
      <c r="A60" s="17"/>
      <c r="B60" s="14"/>
      <c r="C60" s="14"/>
      <c r="D60" s="14"/>
      <c r="E60" s="14"/>
      <c r="F60" s="14"/>
      <c r="G60" s="14"/>
      <c r="H60" s="24"/>
      <c r="I60" s="14"/>
      <c r="J60" s="14"/>
      <c r="K60" s="14"/>
      <c r="L60" s="14" t="str">
        <f>IFERROR(VLOOKUP(J60,Table1[],3,0),"")</f>
        <v/>
      </c>
      <c r="M60" s="14"/>
      <c r="N60" t="str">
        <f>IFERROR(VLOOKUP(J60,Table1[],2,0),"")</f>
        <v/>
      </c>
      <c r="O60" t="str">
        <f>IFERROR(VLOOKUP(J60,Table1[],4,0),"")</f>
        <v/>
      </c>
      <c r="P60" t="str">
        <f t="shared" si="0"/>
        <v/>
      </c>
      <c r="U60" t="s">
        <v>104</v>
      </c>
      <c r="V60">
        <f t="shared" ca="1" si="1"/>
        <v>1</v>
      </c>
      <c r="W60">
        <f ca="1">IF(V60=0,"",COUNTIF($V$2:V60,"&gt;0"))</f>
        <v>59</v>
      </c>
      <c r="X60" t="str">
        <f t="shared" ca="1" si="2"/>
        <v>AFO + KAFO (Size-2)</v>
      </c>
    </row>
    <row r="61" spans="1:24">
      <c r="A61" s="18"/>
      <c r="B61" s="16"/>
      <c r="C61" s="16"/>
      <c r="D61" s="16"/>
      <c r="E61" s="16"/>
      <c r="F61" s="16"/>
      <c r="G61" s="16"/>
      <c r="H61" s="25"/>
      <c r="I61" s="16"/>
      <c r="J61" s="16"/>
      <c r="K61" s="16"/>
      <c r="L61" s="14" t="str">
        <f>IFERROR(VLOOKUP(J61,Table1[],3,0),"")</f>
        <v/>
      </c>
      <c r="M61" s="16"/>
      <c r="N61" t="str">
        <f>IFERROR(VLOOKUP(J61,Table1[],2,0),"")</f>
        <v/>
      </c>
      <c r="O61" t="str">
        <f>IFERROR(VLOOKUP(J61,Table1[],4,0),"")</f>
        <v/>
      </c>
      <c r="P61" t="str">
        <f t="shared" si="0"/>
        <v/>
      </c>
      <c r="U61" t="s">
        <v>105</v>
      </c>
      <c r="V61">
        <f t="shared" ca="1" si="1"/>
        <v>1</v>
      </c>
      <c r="W61">
        <f ca="1">IF(V61=0,"",COUNTIF($V$2:V61,"&gt;0"))</f>
        <v>60</v>
      </c>
      <c r="X61" t="str">
        <f t="shared" ca="1" si="2"/>
        <v>AFO + KAFO (Size-3)</v>
      </c>
    </row>
    <row r="62" spans="1:24">
      <c r="A62" s="17"/>
      <c r="B62" s="14"/>
      <c r="C62" s="14"/>
      <c r="D62" s="14"/>
      <c r="E62" s="14"/>
      <c r="F62" s="14"/>
      <c r="G62" s="14"/>
      <c r="H62" s="24"/>
      <c r="I62" s="14"/>
      <c r="J62" s="14"/>
      <c r="K62" s="14"/>
      <c r="L62" s="14" t="str">
        <f>IFERROR(VLOOKUP(J62,Table1[],3,0),"")</f>
        <v/>
      </c>
      <c r="M62" s="14"/>
      <c r="N62" t="str">
        <f>IFERROR(VLOOKUP(J62,Table1[],2,0),"")</f>
        <v/>
      </c>
      <c r="O62" t="str">
        <f>IFERROR(VLOOKUP(J62,Table1[],4,0),"")</f>
        <v/>
      </c>
      <c r="P62" t="str">
        <f t="shared" si="0"/>
        <v/>
      </c>
      <c r="U62" t="s">
        <v>106</v>
      </c>
      <c r="V62">
        <f t="shared" ca="1" si="1"/>
        <v>1</v>
      </c>
      <c r="W62">
        <f ca="1">IF(V62=0,"",COUNTIF($V$2:V62,"&gt;0"))</f>
        <v>61</v>
      </c>
      <c r="X62" t="str">
        <f t="shared" ca="1" si="2"/>
        <v>AFO + HKAFO without K Jt. -1</v>
      </c>
    </row>
    <row r="63" spans="1:24">
      <c r="A63" s="18"/>
      <c r="B63" s="16"/>
      <c r="C63" s="16"/>
      <c r="D63" s="16"/>
      <c r="E63" s="16"/>
      <c r="F63" s="16"/>
      <c r="G63" s="16"/>
      <c r="H63" s="25"/>
      <c r="I63" s="16"/>
      <c r="J63" s="16"/>
      <c r="K63" s="16"/>
      <c r="L63" s="14" t="str">
        <f>IFERROR(VLOOKUP(J63,Table1[],3,0),"")</f>
        <v/>
      </c>
      <c r="M63" s="16"/>
      <c r="N63" t="str">
        <f>IFERROR(VLOOKUP(J63,Table1[],2,0),"")</f>
        <v/>
      </c>
      <c r="O63" t="str">
        <f>IFERROR(VLOOKUP(J63,Table1[],4,0),"")</f>
        <v/>
      </c>
      <c r="P63" t="str">
        <f t="shared" si="0"/>
        <v/>
      </c>
      <c r="U63" t="s">
        <v>107</v>
      </c>
      <c r="V63">
        <f t="shared" ca="1" si="1"/>
        <v>1</v>
      </c>
      <c r="W63">
        <f ca="1">IF(V63=0,"",COUNTIF($V$2:V63,"&gt;0"))</f>
        <v>62</v>
      </c>
      <c r="X63" t="str">
        <f t="shared" ca="1" si="2"/>
        <v>AFO + HKAFO (Size-1)</v>
      </c>
    </row>
    <row r="64" spans="1:24">
      <c r="A64" s="17"/>
      <c r="B64" s="14"/>
      <c r="C64" s="14"/>
      <c r="D64" s="14"/>
      <c r="E64" s="14"/>
      <c r="F64" s="14"/>
      <c r="G64" s="14"/>
      <c r="H64" s="24"/>
      <c r="I64" s="14"/>
      <c r="J64" s="14"/>
      <c r="K64" s="14"/>
      <c r="L64" s="14" t="str">
        <f>IFERROR(VLOOKUP(J64,Table1[],3,0),"")</f>
        <v/>
      </c>
      <c r="M64" s="14"/>
      <c r="N64" t="str">
        <f>IFERROR(VLOOKUP(J64,Table1[],2,0),"")</f>
        <v/>
      </c>
      <c r="O64" t="str">
        <f>IFERROR(VLOOKUP(J64,Table1[],4,0),"")</f>
        <v/>
      </c>
      <c r="P64" t="str">
        <f t="shared" si="0"/>
        <v/>
      </c>
      <c r="U64" t="s">
        <v>108</v>
      </c>
      <c r="V64">
        <f t="shared" ca="1" si="1"/>
        <v>1</v>
      </c>
      <c r="W64">
        <f ca="1">IF(V64=0,"",COUNTIF($V$2:V64,"&gt;0"))</f>
        <v>63</v>
      </c>
      <c r="X64" t="str">
        <f t="shared" ca="1" si="2"/>
        <v>AFO + HKAFO (Size-2)</v>
      </c>
    </row>
    <row r="65" spans="1:24">
      <c r="A65" s="18"/>
      <c r="B65" s="16"/>
      <c r="C65" s="16"/>
      <c r="D65" s="16"/>
      <c r="E65" s="16"/>
      <c r="F65" s="16"/>
      <c r="G65" s="16"/>
      <c r="H65" s="25"/>
      <c r="I65" s="16"/>
      <c r="J65" s="16"/>
      <c r="K65" s="16"/>
      <c r="L65" s="14" t="str">
        <f>IFERROR(VLOOKUP(J65,Table1[],3,0),"")</f>
        <v/>
      </c>
      <c r="M65" s="16"/>
      <c r="N65" t="str">
        <f>IFERROR(VLOOKUP(J65,Table1[],2,0),"")</f>
        <v/>
      </c>
      <c r="O65" t="str">
        <f>IFERROR(VLOOKUP(J65,Table1[],4,0),"")</f>
        <v/>
      </c>
      <c r="P65" t="str">
        <f t="shared" si="0"/>
        <v/>
      </c>
      <c r="U65" t="s">
        <v>109</v>
      </c>
      <c r="V65">
        <f t="shared" ca="1" si="1"/>
        <v>1</v>
      </c>
      <c r="W65">
        <f ca="1">IF(V65=0,"",COUNTIF($V$2:V65,"&gt;0"))</f>
        <v>64</v>
      </c>
      <c r="X65" t="str">
        <f t="shared" ca="1" si="2"/>
        <v>AFO + HKAFO (Size-3)</v>
      </c>
    </row>
    <row r="66" spans="1:24">
      <c r="A66" s="17"/>
      <c r="B66" s="14"/>
      <c r="C66" s="14"/>
      <c r="D66" s="14"/>
      <c r="E66" s="14"/>
      <c r="F66" s="14"/>
      <c r="G66" s="14"/>
      <c r="H66" s="24"/>
      <c r="I66" s="14"/>
      <c r="J66" s="14"/>
      <c r="K66" s="14"/>
      <c r="L66" s="14" t="str">
        <f>IFERROR(VLOOKUP(J66,Table1[],3,0),"")</f>
        <v/>
      </c>
      <c r="M66" s="14"/>
      <c r="N66" t="str">
        <f>IFERROR(VLOOKUP(J66,Table1[],2,0),"")</f>
        <v/>
      </c>
      <c r="O66" t="str">
        <f>IFERROR(VLOOKUP(J66,Table1[],4,0),"")</f>
        <v/>
      </c>
      <c r="P66" t="str">
        <f t="shared" si="0"/>
        <v/>
      </c>
      <c r="U66" t="s">
        <v>110</v>
      </c>
      <c r="V66">
        <f t="shared" ca="1" si="1"/>
        <v>1</v>
      </c>
      <c r="W66">
        <f ca="1">IF(V66=0,"",COUNTIF($V$2:V66,"&gt;0"))</f>
        <v>65</v>
      </c>
      <c r="X66" t="str">
        <f t="shared" ca="1" si="2"/>
        <v>KAFO + HKAFO without K Jt. -1</v>
      </c>
    </row>
    <row r="67" spans="1:24">
      <c r="A67" s="18"/>
      <c r="B67" s="16"/>
      <c r="C67" s="16"/>
      <c r="D67" s="16"/>
      <c r="E67" s="16"/>
      <c r="F67" s="16"/>
      <c r="G67" s="16"/>
      <c r="H67" s="25"/>
      <c r="I67" s="16"/>
      <c r="J67" s="16"/>
      <c r="K67" s="16"/>
      <c r="L67" s="14" t="str">
        <f>IFERROR(VLOOKUP(J67,Table1[],3,0),"")</f>
        <v/>
      </c>
      <c r="M67" s="16"/>
      <c r="N67" t="str">
        <f>IFERROR(VLOOKUP(J67,Table1[],2,0),"")</f>
        <v/>
      </c>
      <c r="O67" t="str">
        <f>IFERROR(VLOOKUP(J67,Table1[],4,0),"")</f>
        <v/>
      </c>
      <c r="P67" t="str">
        <f t="shared" ref="P67:P72" si="3">IFERROR((N67*M67)+(O67*M67),"")</f>
        <v/>
      </c>
      <c r="U67" t="s">
        <v>111</v>
      </c>
      <c r="V67">
        <f t="shared" ref="V67:V81" ca="1" si="4">IFERROR(SEARCH(INDIRECT(CELL("address")),U67),0)</f>
        <v>1</v>
      </c>
      <c r="W67">
        <f ca="1">IF(V67=0,"",COUNTIF($V$2:V67,"&gt;0"))</f>
        <v>66</v>
      </c>
      <c r="X67" t="str">
        <f t="shared" ref="X67:X81" ca="1" si="5">IFERROR(INDEX(U:U,MATCH(ROW(V66),W:W,0)),"")</f>
        <v>KAFO + HKAFO (Size-1)</v>
      </c>
    </row>
    <row r="68" spans="1:24">
      <c r="A68" s="17"/>
      <c r="B68" s="14"/>
      <c r="C68" s="14"/>
      <c r="D68" s="14"/>
      <c r="E68" s="14"/>
      <c r="F68" s="14"/>
      <c r="G68" s="14"/>
      <c r="H68" s="24"/>
      <c r="I68" s="14"/>
      <c r="J68" s="14"/>
      <c r="K68" s="14"/>
      <c r="L68" s="14" t="str">
        <f>IFERROR(VLOOKUP(J68,Table1[],3,0),"")</f>
        <v/>
      </c>
      <c r="M68" s="14"/>
      <c r="N68" t="str">
        <f>IFERROR(VLOOKUP(J68,Table1[],2,0),"")</f>
        <v/>
      </c>
      <c r="O68" t="str">
        <f>IFERROR(VLOOKUP(J68,Table1[],4,0),"")</f>
        <v/>
      </c>
      <c r="P68" t="str">
        <f t="shared" si="3"/>
        <v/>
      </c>
      <c r="U68" t="s">
        <v>112</v>
      </c>
      <c r="V68">
        <f t="shared" ca="1" si="4"/>
        <v>1</v>
      </c>
      <c r="W68">
        <f ca="1">IF(V68=0,"",COUNTIF($V$2:V68,"&gt;0"))</f>
        <v>67</v>
      </c>
      <c r="X68" t="str">
        <f t="shared" ca="1" si="5"/>
        <v>KAFO + HKAFO (Size-2)</v>
      </c>
    </row>
    <row r="69" spans="1:24">
      <c r="A69" s="18"/>
      <c r="B69" s="16"/>
      <c r="C69" s="16"/>
      <c r="D69" s="16"/>
      <c r="E69" s="16"/>
      <c r="F69" s="16"/>
      <c r="G69" s="16"/>
      <c r="H69" s="25"/>
      <c r="I69" s="16"/>
      <c r="J69" s="16"/>
      <c r="K69" s="16"/>
      <c r="L69" s="14" t="str">
        <f>IFERROR(VLOOKUP(J69,Table1[],3,0),"")</f>
        <v/>
      </c>
      <c r="M69" s="16"/>
      <c r="N69" t="str">
        <f>IFERROR(VLOOKUP(J69,Table1[],2,0),"")</f>
        <v/>
      </c>
      <c r="O69" t="str">
        <f>IFERROR(VLOOKUP(J69,Table1[],4,0),"")</f>
        <v/>
      </c>
      <c r="P69" t="str">
        <f t="shared" si="3"/>
        <v/>
      </c>
      <c r="U69" t="s">
        <v>113</v>
      </c>
      <c r="V69">
        <f t="shared" ca="1" si="4"/>
        <v>1</v>
      </c>
      <c r="W69">
        <f ca="1">IF(V69=0,"",COUNTIF($V$2:V69,"&gt;0"))</f>
        <v>68</v>
      </c>
      <c r="X69" t="str">
        <f t="shared" ca="1" si="5"/>
        <v>KAFO + HKAFO (Size-3)</v>
      </c>
    </row>
    <row r="70" spans="1:24">
      <c r="A70" s="17"/>
      <c r="B70" s="14"/>
      <c r="C70" s="14"/>
      <c r="D70" s="14"/>
      <c r="E70" s="14"/>
      <c r="F70" s="14"/>
      <c r="G70" s="14"/>
      <c r="H70" s="24"/>
      <c r="I70" s="14"/>
      <c r="J70" s="14"/>
      <c r="K70" s="14"/>
      <c r="L70" s="14" t="str">
        <f>IFERROR(VLOOKUP(J70,Table1[],3,0),"")</f>
        <v/>
      </c>
      <c r="M70" s="14"/>
      <c r="N70" t="str">
        <f>IFERROR(VLOOKUP(J70,Table1[],2,0),"")</f>
        <v/>
      </c>
      <c r="O70" t="str">
        <f>IFERROR(VLOOKUP(J70,Table1[],4,0),"")</f>
        <v/>
      </c>
      <c r="P70" t="str">
        <f t="shared" si="3"/>
        <v/>
      </c>
      <c r="U70" t="s">
        <v>114</v>
      </c>
      <c r="V70">
        <f t="shared" ca="1" si="4"/>
        <v>1</v>
      </c>
      <c r="W70">
        <f ca="1">IF(V70=0,"",COUNTIF($V$2:V70,"&gt;0"))</f>
        <v>69</v>
      </c>
      <c r="X70" t="str">
        <f t="shared" ca="1" si="5"/>
        <v>Below Elbow Prosthesis including Cosmetic Glove (Child)</v>
      </c>
    </row>
    <row r="71" spans="1:24">
      <c r="A71" s="18"/>
      <c r="B71" s="16"/>
      <c r="C71" s="16"/>
      <c r="D71" s="16"/>
      <c r="E71" s="16"/>
      <c r="F71" s="16"/>
      <c r="G71" s="16"/>
      <c r="H71" s="25"/>
      <c r="I71" s="16"/>
      <c r="J71" s="16"/>
      <c r="K71" s="16"/>
      <c r="L71" s="14" t="str">
        <f>IFERROR(VLOOKUP(J71,Table1[],3,0),"")</f>
        <v/>
      </c>
      <c r="M71" s="16" t="e">
        <f>IF(#REF!="U/L",1,IF(#REF!="B/L",2,"0"))</f>
        <v>#REF!</v>
      </c>
      <c r="N71" t="str">
        <f>IFERROR(VLOOKUP(J71,Table1[],2,0),"")</f>
        <v/>
      </c>
      <c r="O71" t="str">
        <f>IFERROR(VLOOKUP(J71,Table1[],4,0),"")</f>
        <v/>
      </c>
      <c r="P71" t="str">
        <f t="shared" si="3"/>
        <v/>
      </c>
      <c r="U71" t="s">
        <v>115</v>
      </c>
      <c r="V71">
        <f t="shared" ca="1" si="4"/>
        <v>1</v>
      </c>
      <c r="W71">
        <f ca="1">IF(V71=0,"",COUNTIF($V$2:V71,"&gt;0"))</f>
        <v>70</v>
      </c>
      <c r="X71" t="str">
        <f t="shared" ca="1" si="5"/>
        <v>Below Elbow Prosthesis including Cosmetic Glove (Adult)</v>
      </c>
    </row>
    <row r="72" spans="1:24">
      <c r="A72" s="3"/>
      <c r="B72" s="5"/>
      <c r="C72" s="5"/>
      <c r="D72" s="5"/>
      <c r="E72" s="5"/>
      <c r="F72" s="5"/>
      <c r="G72" s="5"/>
      <c r="H72" s="27"/>
      <c r="I72" s="5"/>
      <c r="J72" s="5"/>
      <c r="K72" s="5"/>
      <c r="L72" s="14" t="str">
        <f>IFERROR(VLOOKUP(J72,Table1[],3,0),"")</f>
        <v/>
      </c>
      <c r="M72" s="5" t="e">
        <f>IF(#REF!="U/L",1,IF(#REF!="B/L",2,"0"))</f>
        <v>#REF!</v>
      </c>
      <c r="N72" t="str">
        <f>IFERROR(VLOOKUP(J72,Table1[],2,0),"")</f>
        <v/>
      </c>
      <c r="O72" t="str">
        <f>IFERROR(VLOOKUP(J72,Table1[],4,0),"")</f>
        <v/>
      </c>
      <c r="P72" t="str">
        <f t="shared" si="3"/>
        <v/>
      </c>
      <c r="U72" t="s">
        <v>116</v>
      </c>
      <c r="V72">
        <f t="shared" ca="1" si="4"/>
        <v>1</v>
      </c>
      <c r="W72">
        <f ca="1">IF(V72=0,"",COUNTIF($V$2:V72,"&gt;0"))</f>
        <v>71</v>
      </c>
      <c r="X72" t="str">
        <f t="shared" ca="1" si="5"/>
        <v>Above Elbow Prosthesis including Cosmetic Glove (Child)</v>
      </c>
    </row>
    <row r="73" spans="1:24">
      <c r="U73" t="s">
        <v>117</v>
      </c>
      <c r="V73">
        <f t="shared" ca="1" si="4"/>
        <v>1</v>
      </c>
      <c r="W73">
        <f ca="1">IF(V73=0,"",COUNTIF($V$2:V73,"&gt;0"))</f>
        <v>72</v>
      </c>
      <c r="X73" t="str">
        <f t="shared" ca="1" si="5"/>
        <v>Above Elbow Prosthesis including Cosmetic Glove (Adult)</v>
      </c>
    </row>
    <row r="74" spans="1:24">
      <c r="U74" t="s">
        <v>118</v>
      </c>
      <c r="V74">
        <f t="shared" ca="1" si="4"/>
        <v>1</v>
      </c>
      <c r="W74">
        <f ca="1">IF(V74=0,"",COUNTIF($V$2:V74,"&gt;0"))</f>
        <v>73</v>
      </c>
      <c r="X74" t="str">
        <f t="shared" ca="1" si="5"/>
        <v>Below Knee Prosthesis (Child)</v>
      </c>
    </row>
    <row r="75" spans="1:24">
      <c r="U75" t="s">
        <v>119</v>
      </c>
      <c r="V75">
        <f t="shared" ca="1" si="4"/>
        <v>1</v>
      </c>
      <c r="W75">
        <f ca="1">IF(V75=0,"",COUNTIF($V$2:V75,"&gt;0"))</f>
        <v>74</v>
      </c>
      <c r="X75" t="str">
        <f t="shared" ca="1" si="5"/>
        <v>Below Knee Prosthesis (Medium)</v>
      </c>
    </row>
    <row r="76" spans="1:24">
      <c r="U76" t="s">
        <v>120</v>
      </c>
      <c r="V76">
        <f t="shared" ca="1" si="4"/>
        <v>1</v>
      </c>
      <c r="W76">
        <f ca="1">IF(V76=0,"",COUNTIF($V$2:V76,"&gt;0"))</f>
        <v>75</v>
      </c>
      <c r="X76" t="str">
        <f t="shared" ca="1" si="5"/>
        <v>Below Knee Prosthesis (Adult)</v>
      </c>
    </row>
    <row r="77" spans="1:24">
      <c r="U77" t="s">
        <v>121</v>
      </c>
      <c r="V77">
        <f t="shared" ca="1" si="4"/>
        <v>1</v>
      </c>
      <c r="W77">
        <f ca="1">IF(V77=0,"",COUNTIF($V$2:V77,"&gt;0"))</f>
        <v>76</v>
      </c>
      <c r="X77" t="str">
        <f t="shared" ca="1" si="5"/>
        <v>Above Knee Prosthesis (Child)</v>
      </c>
    </row>
    <row r="78" spans="1:24">
      <c r="U78" t="s">
        <v>122</v>
      </c>
      <c r="V78">
        <f t="shared" ca="1" si="4"/>
        <v>1</v>
      </c>
      <c r="W78">
        <f ca="1">IF(V78=0,"",COUNTIF($V$2:V78,"&gt;0"))</f>
        <v>77</v>
      </c>
      <c r="X78" t="str">
        <f t="shared" ca="1" si="5"/>
        <v>Above Knee Prosthesis (Medium)</v>
      </c>
    </row>
    <row r="79" spans="1:24">
      <c r="U79" t="s">
        <v>123</v>
      </c>
      <c r="V79">
        <f t="shared" ca="1" si="4"/>
        <v>1</v>
      </c>
      <c r="W79">
        <f ca="1">IF(V79=0,"",COUNTIF($V$2:V79,"&gt;0"))</f>
        <v>78</v>
      </c>
      <c r="X79" t="str">
        <f t="shared" ca="1" si="5"/>
        <v>Above Knee Prosthesis (Adult)</v>
      </c>
    </row>
    <row r="80" spans="1:24">
      <c r="U80" t="s">
        <v>124</v>
      </c>
      <c r="V80">
        <f t="shared" ca="1" si="4"/>
        <v>1</v>
      </c>
      <c r="W80">
        <f ca="1">IF(V80=0,"",COUNTIF($V$2:V80,"&gt;0"))</f>
        <v>79</v>
      </c>
      <c r="X80" t="str">
        <f t="shared" ca="1" si="5"/>
        <v>B.K. Prosthesis Ottobock</v>
      </c>
    </row>
    <row r="81" spans="21:24">
      <c r="U81" t="s">
        <v>125</v>
      </c>
      <c r="V81">
        <f t="shared" ca="1" si="4"/>
        <v>1</v>
      </c>
      <c r="W81">
        <f ca="1">IF(V81=0,"",COUNTIF($V$2:V81,"&gt;0"))</f>
        <v>80</v>
      </c>
      <c r="X81" t="str">
        <f t="shared" ca="1" si="5"/>
        <v>A.K. Prosthesis Ottobock</v>
      </c>
    </row>
  </sheetData>
  <sortState ref="A2:R72">
    <sortCondition ref="H2:H72"/>
  </sortState>
  <dataConsolidate/>
  <conditionalFormatting sqref="H24">
    <cfRule type="duplicateValues" dxfId="8" priority="2"/>
    <cfRule type="duplicateValues" dxfId="7" priority="3"/>
    <cfRule type="duplicateValues" priority="4"/>
  </conditionalFormatting>
  <conditionalFormatting sqref="A2:P72">
    <cfRule type="duplicateValues" priority="1"/>
  </conditionalFormatting>
  <dataValidations count="7">
    <dataValidation type="list" allowBlank="1" showInputMessage="1" showErrorMessage="1" sqref="I2:I72">
      <formula1>"SC,ST,GM,OBC,MINORITY,OTHERS"</formula1>
    </dataValidation>
    <dataValidation type="list" allowBlank="1" showInputMessage="1" showErrorMessage="1" sqref="E2:E72">
      <formula1>"F,M,Other"</formula1>
    </dataValidation>
    <dataValidation type="list" allowBlank="1" showInputMessage="1" showErrorMessage="1" sqref="F2:F72">
      <formula1>"OH,HI,VI,CPMR,Others"</formula1>
    </dataValidation>
    <dataValidation type="custom" allowBlank="1" showInputMessage="1" showErrorMessage="1" sqref="A1:A8 B1 A9:C9 C1:C8 A10:A1048576 L1:L1048576 B73:B1048576 C10:C1048576">
      <formula1>COUNTIF(XET2:XET72,XET1)=1</formula1>
    </dataValidation>
    <dataValidation type="list" allowBlank="1" showInputMessage="1" showErrorMessage="1" sqref="U88">
      <formula1>$U$2:$U$81</formula1>
    </dataValidation>
    <dataValidation type="list" allowBlank="1" showInputMessage="1" sqref="J1:J1048576">
      <formula1>OFFSET($X$2,,,COUNTIF($X:$X,"*?")-1)</formula1>
    </dataValidation>
    <dataValidation type="list" allowBlank="1" showInputMessage="1" sqref="R1:R1048576">
      <formula1>"Aadhar,Disability Certificate,Income,Photograph,Audiogram,Others"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81"/>
  <sheetViews>
    <sheetView zoomScale="85" zoomScaleNormal="85" workbookViewId="0">
      <selection activeCell="C28" sqref="C28"/>
    </sheetView>
  </sheetViews>
  <sheetFormatPr defaultRowHeight="15"/>
  <cols>
    <col min="1" max="1" width="5.28515625" customWidth="1"/>
    <col min="2" max="2" width="21" customWidth="1"/>
    <col min="3" max="3" width="52.140625" customWidth="1"/>
    <col min="4" max="4" width="16.140625" customWidth="1"/>
    <col min="5" max="5" width="19" customWidth="1"/>
    <col min="6" max="6" width="22" customWidth="1"/>
    <col min="7" max="7" width="17.85546875" customWidth="1"/>
  </cols>
  <sheetData>
    <row r="1" spans="1:14">
      <c r="A1" t="s">
        <v>148</v>
      </c>
      <c r="B1" t="s">
        <v>149</v>
      </c>
      <c r="C1" t="s">
        <v>150</v>
      </c>
      <c r="D1" s="19">
        <v>43330</v>
      </c>
      <c r="E1" s="19">
        <v>43763</v>
      </c>
      <c r="F1" s="19">
        <v>43792</v>
      </c>
      <c r="G1" s="19">
        <v>44030</v>
      </c>
      <c r="H1" s="19">
        <v>43879</v>
      </c>
      <c r="I1" s="19">
        <v>44030</v>
      </c>
      <c r="J1" s="19">
        <v>44062</v>
      </c>
      <c r="K1" s="19">
        <v>44093</v>
      </c>
      <c r="L1" t="s">
        <v>151</v>
      </c>
      <c r="M1" t="s">
        <v>152</v>
      </c>
      <c r="N1" t="s">
        <v>21</v>
      </c>
    </row>
    <row r="2" spans="1:14">
      <c r="A2">
        <v>1</v>
      </c>
      <c r="B2" t="s">
        <v>2</v>
      </c>
      <c r="C2" t="s">
        <v>3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2</v>
      </c>
      <c r="M2">
        <v>187</v>
      </c>
      <c r="N2">
        <v>374</v>
      </c>
    </row>
    <row r="3" spans="1:14">
      <c r="A3">
        <v>2</v>
      </c>
      <c r="B3" t="s">
        <v>4</v>
      </c>
      <c r="C3" t="s">
        <v>5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187</v>
      </c>
      <c r="N3">
        <v>187</v>
      </c>
    </row>
    <row r="4" spans="1:14">
      <c r="A4">
        <v>3</v>
      </c>
      <c r="B4" t="s">
        <v>6</v>
      </c>
      <c r="C4" t="s">
        <v>7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187</v>
      </c>
      <c r="N4">
        <v>0</v>
      </c>
    </row>
    <row r="5" spans="1:14">
      <c r="A5">
        <v>4</v>
      </c>
      <c r="B5" t="s">
        <v>8</v>
      </c>
      <c r="C5" t="s">
        <v>9</v>
      </c>
      <c r="D5">
        <v>0</v>
      </c>
      <c r="E5">
        <v>0</v>
      </c>
      <c r="F5">
        <v>0</v>
      </c>
      <c r="G5">
        <v>4</v>
      </c>
      <c r="H5">
        <v>0</v>
      </c>
      <c r="I5">
        <v>4</v>
      </c>
      <c r="J5">
        <v>0</v>
      </c>
      <c r="K5">
        <v>0</v>
      </c>
      <c r="L5">
        <v>8</v>
      </c>
      <c r="M5">
        <v>381</v>
      </c>
      <c r="N5">
        <v>3048</v>
      </c>
    </row>
    <row r="6" spans="1:14">
      <c r="A6">
        <v>5</v>
      </c>
      <c r="B6" t="s">
        <v>10</v>
      </c>
      <c r="C6" t="s">
        <v>11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1845</v>
      </c>
      <c r="N6">
        <v>0</v>
      </c>
    </row>
    <row r="7" spans="1:14">
      <c r="A7">
        <v>6</v>
      </c>
      <c r="B7" t="s">
        <v>36</v>
      </c>
      <c r="C7" t="s">
        <v>132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936</v>
      </c>
      <c r="N7">
        <v>0</v>
      </c>
    </row>
    <row r="8" spans="1:14">
      <c r="A8">
        <v>7</v>
      </c>
      <c r="B8" t="s">
        <v>37</v>
      </c>
      <c r="C8" t="s">
        <v>133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994</v>
      </c>
      <c r="N8">
        <v>0</v>
      </c>
    </row>
    <row r="9" spans="1:14">
      <c r="A9">
        <v>8</v>
      </c>
      <c r="B9" t="s">
        <v>38</v>
      </c>
      <c r="C9" t="s">
        <v>134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898</v>
      </c>
      <c r="N9">
        <v>0</v>
      </c>
    </row>
    <row r="10" spans="1:14">
      <c r="A10">
        <v>9</v>
      </c>
      <c r="B10" t="s">
        <v>39</v>
      </c>
      <c r="C10" t="s">
        <v>135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949</v>
      </c>
      <c r="N10">
        <v>0</v>
      </c>
    </row>
    <row r="11" spans="1:14">
      <c r="A11">
        <v>10</v>
      </c>
      <c r="B11" t="s">
        <v>40</v>
      </c>
      <c r="C11" t="s">
        <v>136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994</v>
      </c>
      <c r="N11">
        <v>0</v>
      </c>
    </row>
    <row r="12" spans="1:14">
      <c r="A12">
        <v>11</v>
      </c>
      <c r="B12" t="s">
        <v>41</v>
      </c>
      <c r="C12" t="s">
        <v>137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1019</v>
      </c>
      <c r="N12">
        <v>0</v>
      </c>
    </row>
    <row r="13" spans="1:14">
      <c r="A13">
        <v>12</v>
      </c>
      <c r="B13" t="s">
        <v>42</v>
      </c>
      <c r="C13" t="s">
        <v>64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420</v>
      </c>
      <c r="N13">
        <v>0</v>
      </c>
    </row>
    <row r="14" spans="1:14">
      <c r="A14">
        <v>13</v>
      </c>
      <c r="B14" t="s">
        <v>43</v>
      </c>
      <c r="C14" t="s">
        <v>65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452</v>
      </c>
      <c r="N14">
        <v>0</v>
      </c>
    </row>
    <row r="15" spans="1:14">
      <c r="A15">
        <v>14</v>
      </c>
      <c r="B15" t="s">
        <v>44</v>
      </c>
      <c r="C15" t="s">
        <v>66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2600</v>
      </c>
      <c r="N15">
        <v>0</v>
      </c>
    </row>
    <row r="16" spans="1:14">
      <c r="A16">
        <v>15</v>
      </c>
      <c r="B16" t="s">
        <v>45</v>
      </c>
      <c r="C16" t="s">
        <v>67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1600</v>
      </c>
      <c r="N16">
        <v>0</v>
      </c>
    </row>
    <row r="17" spans="1:14">
      <c r="A17">
        <v>16</v>
      </c>
      <c r="B17" t="s">
        <v>46</v>
      </c>
      <c r="C17" t="s">
        <v>68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5300</v>
      </c>
      <c r="N17">
        <v>0</v>
      </c>
    </row>
    <row r="18" spans="1:14">
      <c r="A18">
        <v>17</v>
      </c>
      <c r="B18" t="s">
        <v>47</v>
      </c>
      <c r="C18" t="s">
        <v>69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12000</v>
      </c>
      <c r="N18">
        <v>0</v>
      </c>
    </row>
    <row r="19" spans="1:14">
      <c r="A19">
        <v>18</v>
      </c>
      <c r="B19" t="s">
        <v>48</v>
      </c>
      <c r="C19" t="s">
        <v>70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12000</v>
      </c>
      <c r="N19">
        <v>0</v>
      </c>
    </row>
    <row r="20" spans="1:14">
      <c r="A20">
        <v>19</v>
      </c>
      <c r="B20" t="s">
        <v>49</v>
      </c>
      <c r="C20" t="s">
        <v>71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12000</v>
      </c>
      <c r="N20">
        <v>0</v>
      </c>
    </row>
    <row r="21" spans="1:14">
      <c r="A21">
        <v>20</v>
      </c>
      <c r="B21" t="s">
        <v>50</v>
      </c>
      <c r="C21" t="s">
        <v>72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12000</v>
      </c>
      <c r="N21">
        <v>0</v>
      </c>
    </row>
    <row r="22" spans="1:14">
      <c r="A22">
        <v>21</v>
      </c>
      <c r="B22" t="s">
        <v>51</v>
      </c>
      <c r="C22" t="s">
        <v>73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65000</v>
      </c>
      <c r="N22">
        <v>0</v>
      </c>
    </row>
    <row r="23" spans="1:14">
      <c r="A23">
        <v>22</v>
      </c>
      <c r="B23" t="s">
        <v>52</v>
      </c>
      <c r="C23" t="s">
        <v>74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42000</v>
      </c>
      <c r="N23">
        <v>0</v>
      </c>
    </row>
    <row r="24" spans="1:14">
      <c r="A24">
        <v>23</v>
      </c>
      <c r="B24" t="s">
        <v>53</v>
      </c>
      <c r="C24" t="s">
        <v>75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5550</v>
      </c>
      <c r="N24">
        <v>0</v>
      </c>
    </row>
    <row r="25" spans="1:14">
      <c r="A25">
        <v>24</v>
      </c>
      <c r="B25" t="s">
        <v>54</v>
      </c>
      <c r="C25" t="s">
        <v>76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4500</v>
      </c>
      <c r="N25">
        <v>0</v>
      </c>
    </row>
    <row r="26" spans="1:14">
      <c r="A26">
        <v>25</v>
      </c>
      <c r="B26" t="s">
        <v>55</v>
      </c>
      <c r="C26" t="s">
        <v>77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1026</v>
      </c>
      <c r="N26">
        <v>0</v>
      </c>
    </row>
    <row r="27" spans="1:14">
      <c r="A27">
        <v>26</v>
      </c>
      <c r="B27" t="s">
        <v>56</v>
      </c>
      <c r="C27" t="s">
        <v>78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1026</v>
      </c>
      <c r="N27">
        <v>0</v>
      </c>
    </row>
    <row r="28" spans="1:14">
      <c r="A28">
        <v>27</v>
      </c>
      <c r="B28" t="s">
        <v>57</v>
      </c>
      <c r="C28" t="s">
        <v>78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7400</v>
      </c>
      <c r="N28">
        <v>0</v>
      </c>
    </row>
    <row r="29" spans="1:14">
      <c r="A29">
        <v>28</v>
      </c>
      <c r="B29" t="s">
        <v>58</v>
      </c>
      <c r="C29" t="s">
        <v>80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7400</v>
      </c>
      <c r="N29">
        <v>0</v>
      </c>
    </row>
    <row r="30" spans="1:14">
      <c r="A30">
        <v>29</v>
      </c>
      <c r="B30" t="s">
        <v>59</v>
      </c>
      <c r="C30" t="s">
        <v>81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6900</v>
      </c>
      <c r="N30">
        <v>0</v>
      </c>
    </row>
    <row r="31" spans="1:14">
      <c r="A31">
        <v>30</v>
      </c>
      <c r="B31" t="s">
        <v>60</v>
      </c>
      <c r="C31" t="s">
        <v>82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8400</v>
      </c>
      <c r="N31">
        <v>0</v>
      </c>
    </row>
    <row r="32" spans="1:14">
      <c r="A32">
        <v>31</v>
      </c>
      <c r="B32" t="s">
        <v>61</v>
      </c>
      <c r="C32" t="s">
        <v>129</v>
      </c>
      <c r="D32">
        <v>0</v>
      </c>
      <c r="E32">
        <v>0</v>
      </c>
      <c r="F32">
        <v>2</v>
      </c>
      <c r="G32">
        <v>0</v>
      </c>
      <c r="H32">
        <v>0</v>
      </c>
      <c r="I32">
        <v>0</v>
      </c>
      <c r="J32">
        <v>0</v>
      </c>
      <c r="K32">
        <v>0</v>
      </c>
      <c r="L32">
        <v>2</v>
      </c>
      <c r="M32">
        <v>4040</v>
      </c>
      <c r="N32">
        <v>8080</v>
      </c>
    </row>
    <row r="33" spans="1:14">
      <c r="A33">
        <v>32</v>
      </c>
      <c r="B33" t="s">
        <v>131</v>
      </c>
      <c r="C33" t="s">
        <v>130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8080</v>
      </c>
      <c r="N33">
        <v>8080</v>
      </c>
    </row>
    <row r="34" spans="1:14">
      <c r="A34">
        <v>33</v>
      </c>
      <c r="B34" t="s">
        <v>62</v>
      </c>
      <c r="C34" t="s">
        <v>83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140</v>
      </c>
      <c r="N34">
        <v>0</v>
      </c>
    </row>
    <row r="35" spans="1:14">
      <c r="A35">
        <v>34</v>
      </c>
      <c r="B35" t="s">
        <v>63</v>
      </c>
      <c r="C35" t="s">
        <v>84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260</v>
      </c>
      <c r="N35">
        <v>0</v>
      </c>
    </row>
    <row r="36" spans="1:14">
      <c r="A36">
        <v>35</v>
      </c>
      <c r="B36" t="s">
        <v>28</v>
      </c>
      <c r="C36" t="s">
        <v>33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3210</v>
      </c>
      <c r="N36">
        <v>0</v>
      </c>
    </row>
    <row r="37" spans="1:14">
      <c r="A37">
        <v>36</v>
      </c>
      <c r="B37" t="s">
        <v>28</v>
      </c>
      <c r="C37" t="s">
        <v>34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3480</v>
      </c>
      <c r="N37">
        <v>0</v>
      </c>
    </row>
    <row r="38" spans="1:14">
      <c r="A38">
        <v>37</v>
      </c>
      <c r="B38" t="s">
        <v>28</v>
      </c>
      <c r="C38" t="s">
        <v>35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3710</v>
      </c>
      <c r="N38">
        <v>0</v>
      </c>
    </row>
    <row r="39" spans="1:14">
      <c r="A39">
        <v>38</v>
      </c>
      <c r="B39" t="s">
        <v>28</v>
      </c>
      <c r="C39" t="s">
        <v>29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5420</v>
      </c>
      <c r="N39">
        <v>0</v>
      </c>
    </row>
    <row r="40" spans="1:14">
      <c r="A40">
        <v>39</v>
      </c>
      <c r="B40" t="s">
        <v>28</v>
      </c>
      <c r="C40" t="s">
        <v>30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5770</v>
      </c>
      <c r="N40">
        <v>0</v>
      </c>
    </row>
    <row r="41" spans="1:14">
      <c r="A41">
        <v>40</v>
      </c>
      <c r="B41" t="s">
        <v>28</v>
      </c>
      <c r="C41" t="s">
        <v>85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6100</v>
      </c>
      <c r="N41">
        <v>0</v>
      </c>
    </row>
    <row r="42" spans="1:14">
      <c r="A42">
        <v>41</v>
      </c>
      <c r="B42" t="s">
        <v>28</v>
      </c>
      <c r="C42" t="s">
        <v>86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5290</v>
      </c>
      <c r="N42">
        <v>0</v>
      </c>
    </row>
    <row r="43" spans="1:14">
      <c r="A43">
        <v>42</v>
      </c>
      <c r="B43" t="s">
        <v>28</v>
      </c>
      <c r="C43" t="s">
        <v>87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6200</v>
      </c>
      <c r="N43">
        <v>0</v>
      </c>
    </row>
    <row r="44" spans="1:14">
      <c r="A44">
        <v>43</v>
      </c>
      <c r="B44" t="s">
        <v>28</v>
      </c>
      <c r="C44" t="s">
        <v>88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6720</v>
      </c>
      <c r="N44">
        <v>0</v>
      </c>
    </row>
    <row r="45" spans="1:14">
      <c r="A45">
        <v>44</v>
      </c>
      <c r="B45" t="s">
        <v>28</v>
      </c>
      <c r="C45" t="s">
        <v>89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7190</v>
      </c>
      <c r="N45">
        <v>0</v>
      </c>
    </row>
    <row r="46" spans="1:14">
      <c r="A46">
        <v>45</v>
      </c>
      <c r="B46" t="s">
        <v>28</v>
      </c>
      <c r="C46" t="s">
        <v>90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9590</v>
      </c>
      <c r="N46">
        <v>0</v>
      </c>
    </row>
    <row r="47" spans="1:14">
      <c r="A47">
        <v>46</v>
      </c>
      <c r="B47" t="s">
        <v>28</v>
      </c>
      <c r="C47" t="s">
        <v>91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11410</v>
      </c>
      <c r="N47">
        <v>0</v>
      </c>
    </row>
    <row r="48" spans="1:14">
      <c r="A48">
        <v>47</v>
      </c>
      <c r="B48" t="s">
        <v>28</v>
      </c>
      <c r="C48" t="s">
        <v>92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12260</v>
      </c>
      <c r="N48">
        <v>0</v>
      </c>
    </row>
    <row r="49" spans="1:14">
      <c r="A49">
        <v>48</v>
      </c>
      <c r="B49" t="s">
        <v>28</v>
      </c>
      <c r="C49" t="s">
        <v>93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13070</v>
      </c>
      <c r="N49">
        <v>0</v>
      </c>
    </row>
    <row r="50" spans="1:14">
      <c r="A50">
        <v>49</v>
      </c>
      <c r="B50" t="s">
        <v>28</v>
      </c>
      <c r="C50" t="s">
        <v>94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6460</v>
      </c>
      <c r="N50">
        <v>0</v>
      </c>
    </row>
    <row r="51" spans="1:14">
      <c r="A51">
        <v>50</v>
      </c>
      <c r="B51" t="s">
        <v>28</v>
      </c>
      <c r="C51" t="s">
        <v>95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7380</v>
      </c>
      <c r="N51">
        <v>0</v>
      </c>
    </row>
    <row r="52" spans="1:14">
      <c r="A52">
        <v>51</v>
      </c>
      <c r="B52" t="s">
        <v>28</v>
      </c>
      <c r="C52" t="s">
        <v>96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8160</v>
      </c>
      <c r="N52">
        <v>0</v>
      </c>
    </row>
    <row r="53" spans="1:14">
      <c r="A53">
        <v>52</v>
      </c>
      <c r="B53" t="s">
        <v>28</v>
      </c>
      <c r="C53" t="s">
        <v>97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8690</v>
      </c>
      <c r="N53">
        <v>0</v>
      </c>
    </row>
    <row r="54" spans="1:14">
      <c r="A54">
        <v>53</v>
      </c>
      <c r="B54" t="s">
        <v>28</v>
      </c>
      <c r="C54" t="s">
        <v>98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11920</v>
      </c>
      <c r="N54">
        <v>0</v>
      </c>
    </row>
    <row r="55" spans="1:14">
      <c r="A55">
        <v>54</v>
      </c>
      <c r="B55" t="s">
        <v>28</v>
      </c>
      <c r="C55" t="s">
        <v>99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13770</v>
      </c>
      <c r="N55">
        <v>0</v>
      </c>
    </row>
    <row r="56" spans="1:14">
      <c r="A56">
        <v>55</v>
      </c>
      <c r="B56" t="s">
        <v>28</v>
      </c>
      <c r="C56" t="s">
        <v>100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15130</v>
      </c>
      <c r="N56">
        <v>0</v>
      </c>
    </row>
    <row r="57" spans="1:14">
      <c r="A57">
        <v>56</v>
      </c>
      <c r="B57" t="s">
        <v>28</v>
      </c>
      <c r="C57" t="s">
        <v>101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16070</v>
      </c>
      <c r="N57">
        <v>0</v>
      </c>
    </row>
    <row r="58" spans="1:14">
      <c r="A58">
        <v>57</v>
      </c>
      <c r="B58" t="s">
        <v>28</v>
      </c>
      <c r="C58" t="s">
        <v>102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7520</v>
      </c>
      <c r="N58">
        <v>0</v>
      </c>
    </row>
    <row r="59" spans="1:14">
      <c r="A59">
        <v>58</v>
      </c>
      <c r="B59" t="s">
        <v>28</v>
      </c>
      <c r="C59" t="s">
        <v>103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8430</v>
      </c>
      <c r="N59">
        <v>0</v>
      </c>
    </row>
    <row r="60" spans="1:14">
      <c r="A60">
        <v>59</v>
      </c>
      <c r="B60" t="s">
        <v>28</v>
      </c>
      <c r="C60" t="s">
        <v>104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9030</v>
      </c>
      <c r="N60">
        <v>0</v>
      </c>
    </row>
    <row r="61" spans="1:14">
      <c r="A61">
        <v>60</v>
      </c>
      <c r="B61" t="s">
        <v>28</v>
      </c>
      <c r="C61" t="s">
        <v>105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9590</v>
      </c>
      <c r="N61">
        <v>0</v>
      </c>
    </row>
    <row r="62" spans="1:14">
      <c r="A62">
        <v>61</v>
      </c>
      <c r="B62" t="s">
        <v>28</v>
      </c>
      <c r="C62" t="s">
        <v>106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8690</v>
      </c>
      <c r="N62">
        <v>0</v>
      </c>
    </row>
    <row r="63" spans="1:14">
      <c r="A63">
        <v>62</v>
      </c>
      <c r="B63" t="s">
        <v>28</v>
      </c>
      <c r="C63" t="s">
        <v>107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9610</v>
      </c>
      <c r="N63">
        <v>0</v>
      </c>
    </row>
    <row r="64" spans="1:14">
      <c r="A64">
        <v>63</v>
      </c>
      <c r="B64" t="s">
        <v>28</v>
      </c>
      <c r="C64" t="s">
        <v>108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10470</v>
      </c>
      <c r="N64">
        <v>0</v>
      </c>
    </row>
    <row r="65" spans="1:14">
      <c r="A65">
        <v>64</v>
      </c>
      <c r="B65" t="s">
        <v>28</v>
      </c>
      <c r="C65" t="s">
        <v>109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11090</v>
      </c>
      <c r="N65">
        <v>0</v>
      </c>
    </row>
    <row r="66" spans="1:14">
      <c r="A66">
        <v>65</v>
      </c>
      <c r="B66" t="s">
        <v>28</v>
      </c>
      <c r="C66" t="s">
        <v>110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10770</v>
      </c>
      <c r="N66">
        <v>0</v>
      </c>
    </row>
    <row r="67" spans="1:14">
      <c r="A67">
        <v>66</v>
      </c>
      <c r="B67" t="s">
        <v>28</v>
      </c>
      <c r="C67" t="s">
        <v>111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12600</v>
      </c>
      <c r="N67">
        <v>0</v>
      </c>
    </row>
    <row r="68" spans="1:14">
      <c r="A68">
        <v>67</v>
      </c>
      <c r="B68" t="s">
        <v>28</v>
      </c>
      <c r="C68" t="s">
        <v>112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13710</v>
      </c>
      <c r="N68">
        <v>0</v>
      </c>
    </row>
    <row r="69" spans="1:14">
      <c r="A69">
        <v>68</v>
      </c>
      <c r="B69" t="s">
        <v>28</v>
      </c>
      <c r="C69" t="s">
        <v>113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14570</v>
      </c>
      <c r="N69">
        <v>0</v>
      </c>
    </row>
    <row r="70" spans="1:14">
      <c r="A70">
        <v>69</v>
      </c>
      <c r="B70" t="s">
        <v>28</v>
      </c>
      <c r="C70" t="s">
        <v>114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8620</v>
      </c>
      <c r="N70">
        <v>0</v>
      </c>
    </row>
    <row r="71" spans="1:14">
      <c r="A71">
        <v>70</v>
      </c>
      <c r="B71" t="s">
        <v>28</v>
      </c>
      <c r="C71" t="s">
        <v>115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8820</v>
      </c>
      <c r="N71">
        <v>0</v>
      </c>
    </row>
    <row r="72" spans="1:14">
      <c r="A72">
        <v>71</v>
      </c>
      <c r="B72" t="s">
        <v>28</v>
      </c>
      <c r="C72" t="s">
        <v>116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10000</v>
      </c>
      <c r="N72">
        <v>0</v>
      </c>
    </row>
    <row r="73" spans="1:14">
      <c r="A73">
        <v>72</v>
      </c>
      <c r="B73" t="s">
        <v>28</v>
      </c>
      <c r="C73" t="s">
        <v>117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10000</v>
      </c>
      <c r="N73">
        <v>0</v>
      </c>
    </row>
    <row r="74" spans="1:14">
      <c r="A74">
        <v>73</v>
      </c>
      <c r="B74" t="s">
        <v>28</v>
      </c>
      <c r="C74" t="s">
        <v>118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7940</v>
      </c>
      <c r="N74">
        <v>0</v>
      </c>
    </row>
    <row r="75" spans="1:14">
      <c r="A75">
        <v>74</v>
      </c>
      <c r="B75" t="s">
        <v>28</v>
      </c>
      <c r="C75" t="s">
        <v>119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8030</v>
      </c>
      <c r="N75">
        <v>0</v>
      </c>
    </row>
    <row r="76" spans="1:14">
      <c r="A76">
        <v>75</v>
      </c>
      <c r="B76" t="s">
        <v>28</v>
      </c>
      <c r="C76" t="s">
        <v>120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8120</v>
      </c>
      <c r="N76">
        <v>0</v>
      </c>
    </row>
    <row r="77" spans="1:14">
      <c r="A77">
        <v>76</v>
      </c>
      <c r="B77" t="s">
        <v>28</v>
      </c>
      <c r="C77" t="s">
        <v>121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10000</v>
      </c>
      <c r="N77">
        <v>0</v>
      </c>
    </row>
    <row r="78" spans="1:14">
      <c r="A78">
        <v>77</v>
      </c>
      <c r="B78" t="s">
        <v>28</v>
      </c>
      <c r="C78" t="s">
        <v>122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10000</v>
      </c>
      <c r="N78">
        <v>0</v>
      </c>
    </row>
    <row r="79" spans="1:14">
      <c r="A79">
        <v>78</v>
      </c>
      <c r="B79" t="s">
        <v>28</v>
      </c>
      <c r="C79" t="s">
        <v>123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10000</v>
      </c>
      <c r="N79">
        <v>0</v>
      </c>
    </row>
    <row r="80" spans="1:14">
      <c r="A80">
        <v>79</v>
      </c>
      <c r="B80" t="s">
        <v>28</v>
      </c>
      <c r="C80" t="s">
        <v>124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14163</v>
      </c>
      <c r="N80">
        <v>0</v>
      </c>
    </row>
    <row r="81" spans="1:14">
      <c r="A81">
        <v>80</v>
      </c>
      <c r="B81" t="s">
        <v>28</v>
      </c>
      <c r="C81" t="s">
        <v>125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21687</v>
      </c>
      <c r="N8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81"/>
  <sheetViews>
    <sheetView workbookViewId="0">
      <selection activeCell="C2" sqref="C2"/>
    </sheetView>
  </sheetViews>
  <sheetFormatPr defaultRowHeight="15"/>
  <cols>
    <col min="1" max="1" width="58.42578125" customWidth="1"/>
    <col min="2" max="2" width="16.85546875" customWidth="1"/>
    <col min="3" max="3" width="30.28515625" customWidth="1"/>
    <col min="4" max="4" width="54.85546875" customWidth="1"/>
  </cols>
  <sheetData>
    <row r="1" spans="1:4">
      <c r="A1" s="28" t="s">
        <v>1</v>
      </c>
      <c r="B1" t="s">
        <v>157</v>
      </c>
      <c r="C1" t="s">
        <v>159</v>
      </c>
      <c r="D1" t="s">
        <v>160</v>
      </c>
    </row>
    <row r="2" spans="1:4">
      <c r="A2" s="3" t="s">
        <v>3</v>
      </c>
      <c r="B2">
        <f ca="1">IFERROR(SEARCH(INDIRECT(CELL("address")),A2),0)</f>
        <v>1</v>
      </c>
      <c r="C2">
        <f ca="1">IF(B2=0,"",COUNTIF($B$2:B2,"&gt;0"))</f>
        <v>1</v>
      </c>
      <c r="D2" t="str">
        <f ca="1">IFERROR(INDEX(A:A,MATCH(ROW(B1),C:C,0)),"")</f>
        <v>Collar Cervical Soft Small</v>
      </c>
    </row>
    <row r="3" spans="1:4">
      <c r="A3" s="4" t="s">
        <v>5</v>
      </c>
      <c r="B3">
        <f t="shared" ref="B3:B66" ca="1" si="0">IFERROR(SEARCH(INDIRECT(CELL("address")),A3),0)</f>
        <v>1</v>
      </c>
      <c r="C3">
        <f ca="1">IF(B3=0,"",COUNTIF($B$2:B3,"&gt;0"))</f>
        <v>2</v>
      </c>
      <c r="D3" t="str">
        <f t="shared" ref="D3:D66" ca="1" si="1">IFERROR(INDEX(A:A,MATCH(ROW(B2),C:C,0)),"")</f>
        <v>Collar Cervical Soft Medium</v>
      </c>
    </row>
    <row r="4" spans="1:4">
      <c r="A4" s="3" t="s">
        <v>7</v>
      </c>
      <c r="B4">
        <f t="shared" ca="1" si="0"/>
        <v>1</v>
      </c>
      <c r="C4">
        <f ca="1">IF(B4=0,"",COUNTIF($B$2:B4,"&gt;0"))</f>
        <v>3</v>
      </c>
      <c r="D4" t="str">
        <f t="shared" ca="1" si="1"/>
        <v>Collar Cervical Soft Large</v>
      </c>
    </row>
    <row r="5" spans="1:4">
      <c r="A5" s="4" t="s">
        <v>9</v>
      </c>
      <c r="B5">
        <f t="shared" ca="1" si="0"/>
        <v>1</v>
      </c>
      <c r="C5">
        <f ca="1">IF(B5=0,"",COUNTIF($B$2:B5,"&gt;0"))</f>
        <v>4</v>
      </c>
      <c r="D5" t="str">
        <f t="shared" ca="1" si="1"/>
        <v>Braille Slate Type A Size 355*245 mm</v>
      </c>
    </row>
    <row r="6" spans="1:4">
      <c r="A6" s="3" t="s">
        <v>11</v>
      </c>
      <c r="B6">
        <f t="shared" ca="1" si="0"/>
        <v>1</v>
      </c>
      <c r="C6">
        <f ca="1">IF(B6=0,"",COUNTIF($B$2:B6,"&gt;0"))</f>
        <v>5</v>
      </c>
      <c r="D6" t="str">
        <f t="shared" ca="1" si="1"/>
        <v>Brallie Kit With Braille Cane &amp; Braille Slate</v>
      </c>
    </row>
    <row r="7" spans="1:4">
      <c r="A7" s="4" t="s">
        <v>132</v>
      </c>
      <c r="B7">
        <f t="shared" ca="1" si="0"/>
        <v>1</v>
      </c>
      <c r="C7">
        <f ca="1">IF(B7=0,"",COUNTIF($B$2:B7,"&gt;0"))</f>
        <v>6</v>
      </c>
      <c r="D7" t="str">
        <f t="shared" ca="1" si="1"/>
        <v>Crutch Elbow Adjustable(Aluminium) Size 1</v>
      </c>
    </row>
    <row r="8" spans="1:4">
      <c r="A8" s="3" t="s">
        <v>133</v>
      </c>
      <c r="B8">
        <f t="shared" ca="1" si="0"/>
        <v>1</v>
      </c>
      <c r="C8">
        <f ca="1">IF(B8=0,"",COUNTIF($B$2:B8,"&gt;0"))</f>
        <v>7</v>
      </c>
      <c r="D8" t="str">
        <f t="shared" ca="1" si="1"/>
        <v>Crutch Elbow Adjustable(Aluminium) Size 2</v>
      </c>
    </row>
    <row r="9" spans="1:4">
      <c r="A9" s="4" t="s">
        <v>134</v>
      </c>
      <c r="B9">
        <f t="shared" ca="1" si="0"/>
        <v>1</v>
      </c>
      <c r="C9">
        <f ca="1">IF(B9=0,"",COUNTIF($B$2:B9,"&gt;0"))</f>
        <v>8</v>
      </c>
      <c r="D9" t="str">
        <f t="shared" ca="1" si="1"/>
        <v>Crutch Elbow Adjustable(Aluminium) Extra Small</v>
      </c>
    </row>
    <row r="10" spans="1:4">
      <c r="A10" s="3" t="s">
        <v>135</v>
      </c>
      <c r="B10">
        <f t="shared" ca="1" si="0"/>
        <v>1</v>
      </c>
      <c r="C10">
        <f ca="1">IF(B10=0,"",COUNTIF($B$2:B10,"&gt;0"))</f>
        <v>9</v>
      </c>
      <c r="D10" t="str">
        <f t="shared" ca="1" si="1"/>
        <v>Crutch Elbow Adjustable(Aluminium)  Small</v>
      </c>
    </row>
    <row r="11" spans="1:4">
      <c r="A11" s="4" t="s">
        <v>136</v>
      </c>
      <c r="B11">
        <f t="shared" ca="1" si="0"/>
        <v>1</v>
      </c>
      <c r="C11">
        <f ca="1">IF(B11=0,"",COUNTIF($B$2:B11,"&gt;0"))</f>
        <v>10</v>
      </c>
      <c r="D11" t="str">
        <f t="shared" ca="1" si="1"/>
        <v>Crutch Elbow Adjustable(Aluminium) Medium</v>
      </c>
    </row>
    <row r="12" spans="1:4">
      <c r="A12" s="3" t="s">
        <v>137</v>
      </c>
      <c r="B12">
        <f t="shared" ca="1" si="0"/>
        <v>1</v>
      </c>
      <c r="C12">
        <f ca="1">IF(B12=0,"",COUNTIF($B$2:B12,"&gt;0"))</f>
        <v>11</v>
      </c>
      <c r="D12" t="str">
        <f t="shared" ca="1" si="1"/>
        <v>Crutch Elbow Adjustable(Aluminium) Large</v>
      </c>
    </row>
    <row r="13" spans="1:4">
      <c r="A13" s="4" t="s">
        <v>64</v>
      </c>
      <c r="B13">
        <f t="shared" ca="1" si="0"/>
        <v>1</v>
      </c>
      <c r="C13">
        <f ca="1">IF(B13=0,"",COUNTIF($B$2:B13,"&gt;0"))</f>
        <v>12</v>
      </c>
      <c r="D13" t="str">
        <f t="shared" ca="1" si="1"/>
        <v>Walking Stick</v>
      </c>
    </row>
    <row r="14" spans="1:4">
      <c r="A14" s="3" t="s">
        <v>65</v>
      </c>
      <c r="B14">
        <f t="shared" ca="1" si="0"/>
        <v>1</v>
      </c>
      <c r="C14">
        <f ca="1">IF(B14=0,"",COUNTIF($B$2:B14,"&gt;0"))</f>
        <v>13</v>
      </c>
      <c r="D14" t="str">
        <f t="shared" ca="1" si="1"/>
        <v xml:space="preserve">Braille Cane Folding for Visually Handicapped(Deluxe) </v>
      </c>
    </row>
    <row r="15" spans="1:4">
      <c r="A15" s="4" t="s">
        <v>66</v>
      </c>
      <c r="B15">
        <f t="shared" ca="1" si="0"/>
        <v>1</v>
      </c>
      <c r="C15">
        <f ca="1">IF(B15=0,"",COUNTIF($B$2:B15,"&gt;0"))</f>
        <v>14</v>
      </c>
      <c r="D15" t="str">
        <f t="shared" ca="1" si="1"/>
        <v>ADL Kit for Leprosy Affected</v>
      </c>
    </row>
    <row r="16" spans="1:4">
      <c r="A16" s="3" t="s">
        <v>67</v>
      </c>
      <c r="B16">
        <f t="shared" ca="1" si="0"/>
        <v>1</v>
      </c>
      <c r="C16">
        <f ca="1">IF(B16=0,"",COUNTIF($B$2:B16,"&gt;0"))</f>
        <v>15</v>
      </c>
      <c r="D16" t="str">
        <f t="shared" ca="1" si="1"/>
        <v>Cell Phonne for Leprosy Patients</v>
      </c>
    </row>
    <row r="17" spans="1:4">
      <c r="A17" s="4" t="s">
        <v>68</v>
      </c>
      <c r="B17">
        <f t="shared" ca="1" si="0"/>
        <v>1</v>
      </c>
      <c r="C17">
        <f ca="1">IF(B17=0,"",COUNTIF($B$2:B17,"&gt;0"))</f>
        <v>16</v>
      </c>
      <c r="D17" t="str">
        <f t="shared" ca="1" si="1"/>
        <v>Smart Cane Type 1</v>
      </c>
    </row>
    <row r="18" spans="1:4">
      <c r="A18" s="3" t="s">
        <v>69</v>
      </c>
      <c r="B18">
        <f t="shared" ca="1" si="0"/>
        <v>1</v>
      </c>
      <c r="C18">
        <f ca="1">IF(B18=0,"",COUNTIF($B$2:B18,"&gt;0"))</f>
        <v>17</v>
      </c>
      <c r="D18" t="str">
        <f t="shared" ca="1" si="1"/>
        <v>Smart Phone with Screen Reading</v>
      </c>
    </row>
    <row r="19" spans="1:4">
      <c r="A19" s="4" t="s">
        <v>70</v>
      </c>
      <c r="B19">
        <f t="shared" ca="1" si="0"/>
        <v>1</v>
      </c>
      <c r="C19">
        <f ca="1">IF(B19=0,"",COUNTIF($B$2:B19,"&gt;0"))</f>
        <v>18</v>
      </c>
      <c r="D19" t="str">
        <f t="shared" ca="1" si="1"/>
        <v>Smart Phone with Magnifier</v>
      </c>
    </row>
    <row r="20" spans="1:4">
      <c r="A20" s="3" t="s">
        <v>71</v>
      </c>
      <c r="B20">
        <f t="shared" ca="1" si="0"/>
        <v>1</v>
      </c>
      <c r="C20">
        <f ca="1">IF(B20=0,"",COUNTIF($B$2:B20,"&gt;0"))</f>
        <v>19</v>
      </c>
      <c r="D20" t="str">
        <f t="shared" ca="1" si="1"/>
        <v>Tablet</v>
      </c>
    </row>
    <row r="21" spans="1:4">
      <c r="A21" s="4" t="s">
        <v>72</v>
      </c>
      <c r="B21">
        <f t="shared" ca="1" si="0"/>
        <v>1</v>
      </c>
      <c r="C21">
        <f ca="1">IF(B21=0,"",COUNTIF($B$2:B21,"&gt;0"))</f>
        <v>20</v>
      </c>
      <c r="D21" t="str">
        <f t="shared" ca="1" si="1"/>
        <v>Daisy Player</v>
      </c>
    </row>
    <row r="22" spans="1:4">
      <c r="A22" s="3" t="s">
        <v>73</v>
      </c>
      <c r="B22">
        <f t="shared" ca="1" si="0"/>
        <v>1</v>
      </c>
      <c r="C22">
        <f ca="1">IF(B22=0,"",COUNTIF($B$2:B22,"&gt;0"))</f>
        <v>21</v>
      </c>
      <c r="D22" t="str">
        <f t="shared" ca="1" si="1"/>
        <v>Motorised Wheel Chair</v>
      </c>
    </row>
    <row r="23" spans="1:4">
      <c r="A23" s="4" t="s">
        <v>74</v>
      </c>
      <c r="B23">
        <f t="shared" ca="1" si="0"/>
        <v>1</v>
      </c>
      <c r="C23">
        <f ca="1">IF(B23=0,"",COUNTIF($B$2:B23,"&gt;0"))</f>
        <v>22</v>
      </c>
      <c r="D23" t="str">
        <f t="shared" ca="1" si="1"/>
        <v>Motorised Tricycle with Box</v>
      </c>
    </row>
    <row r="24" spans="1:4">
      <c r="A24" s="3" t="s">
        <v>75</v>
      </c>
      <c r="B24">
        <f t="shared" ca="1" si="0"/>
        <v>1</v>
      </c>
      <c r="C24">
        <f ca="1">IF(B24=0,"",COUNTIF($B$2:B24,"&gt;0"))</f>
        <v>23</v>
      </c>
      <c r="D24" t="str">
        <f t="shared" ca="1" si="1"/>
        <v>Cerebral Palsy (CP) Chair</v>
      </c>
    </row>
    <row r="25" spans="1:4">
      <c r="A25" s="4" t="s">
        <v>76</v>
      </c>
      <c r="B25">
        <f t="shared" ca="1" si="0"/>
        <v>1</v>
      </c>
      <c r="C25">
        <f ca="1">IF(B25=0,"",COUNTIF($B$2:B25,"&gt;0"))</f>
        <v>24</v>
      </c>
      <c r="D25" t="str">
        <f t="shared" ca="1" si="1"/>
        <v>MSIDE Kit</v>
      </c>
    </row>
    <row r="26" spans="1:4">
      <c r="A26" s="3" t="s">
        <v>77</v>
      </c>
      <c r="B26">
        <f t="shared" ca="1" si="0"/>
        <v>1</v>
      </c>
      <c r="C26">
        <f ca="1">IF(B26=0,"",COUNTIF($B$2:B26,"&gt;0"))</f>
        <v>25</v>
      </c>
      <c r="D26" t="str">
        <f t="shared" ca="1" si="1"/>
        <v>Rolator Size 1 (Child)</v>
      </c>
    </row>
    <row r="27" spans="1:4">
      <c r="A27" s="4" t="s">
        <v>78</v>
      </c>
      <c r="B27">
        <f t="shared" ca="1" si="0"/>
        <v>1</v>
      </c>
      <c r="C27">
        <f ca="1">IF(B27=0,"",COUNTIF($B$2:B27,"&gt;0"))</f>
        <v>26</v>
      </c>
      <c r="D27" t="str">
        <f t="shared" ca="1" si="1"/>
        <v>Rolator Size 2 (Adult)</v>
      </c>
    </row>
    <row r="28" spans="1:4">
      <c r="A28" s="3" t="s">
        <v>79</v>
      </c>
      <c r="B28">
        <f t="shared" ca="1" si="0"/>
        <v>1</v>
      </c>
      <c r="C28">
        <f ca="1">IF(B28=0,"",COUNTIF($B$2:B28,"&gt;0"))</f>
        <v>27</v>
      </c>
      <c r="D28" t="str">
        <f t="shared" ca="1" si="1"/>
        <v>Wheel Chair Folding Child Size (MAMTA)</v>
      </c>
    </row>
    <row r="29" spans="1:4">
      <c r="A29" s="4" t="s">
        <v>80</v>
      </c>
      <c r="B29">
        <f t="shared" ca="1" si="0"/>
        <v>1</v>
      </c>
      <c r="C29">
        <f ca="1">IF(B29=0,"",COUNTIF($B$2:B29,"&gt;0"))</f>
        <v>28</v>
      </c>
      <c r="D29" t="str">
        <f t="shared" ca="1" si="1"/>
        <v>Wheel Chair Folding Standard Model Adult Size</v>
      </c>
    </row>
    <row r="30" spans="1:4">
      <c r="A30" s="3" t="s">
        <v>81</v>
      </c>
      <c r="B30">
        <f t="shared" ca="1" si="0"/>
        <v>1</v>
      </c>
      <c r="C30">
        <f ca="1">IF(B30=0,"",COUNTIF($B$2:B30,"&gt;0"))</f>
        <v>29</v>
      </c>
      <c r="D30" t="str">
        <f t="shared" ca="1" si="1"/>
        <v>Tricycle Conventional Right Hand Drive (STUTI)</v>
      </c>
    </row>
    <row r="31" spans="1:4">
      <c r="A31" s="4" t="s">
        <v>82</v>
      </c>
      <c r="B31">
        <f t="shared" ca="1" si="0"/>
        <v>1</v>
      </c>
      <c r="C31">
        <f ca="1">IF(B31=0,"",COUNTIF($B$2:B31,"&gt;0"))</f>
        <v>30</v>
      </c>
      <c r="D31" t="str">
        <f t="shared" ca="1" si="1"/>
        <v>Tricycle Conventional Hand Propelled (HAMRIHI)</v>
      </c>
    </row>
    <row r="32" spans="1:4">
      <c r="A32" s="3" t="s">
        <v>129</v>
      </c>
      <c r="B32">
        <f t="shared" ca="1" si="0"/>
        <v>1</v>
      </c>
      <c r="C32">
        <f ca="1">IF(B32=0,"",COUNTIF($B$2:B32,"&gt;0"))</f>
        <v>31</v>
      </c>
      <c r="D32" t="str">
        <f t="shared" ca="1" si="1"/>
        <v>U/L BTE Digital Type Hearing Aid + 6 Pack of 13 Zinc-Air Battery</v>
      </c>
    </row>
    <row r="33" spans="1:4">
      <c r="A33" s="4" t="s">
        <v>130</v>
      </c>
      <c r="B33">
        <f t="shared" ca="1" si="0"/>
        <v>1</v>
      </c>
      <c r="C33">
        <f ca="1">IF(B33=0,"",COUNTIF($B$2:B33,"&gt;0"))</f>
        <v>32</v>
      </c>
      <c r="D33" t="str">
        <f t="shared" ca="1" si="1"/>
        <v>B/L BTE Digital Type Hearing Aid + 6 Pack of 13 Zinc-Air Battery</v>
      </c>
    </row>
    <row r="34" spans="1:4">
      <c r="A34" s="3" t="s">
        <v>83</v>
      </c>
      <c r="B34">
        <f t="shared" ca="1" si="0"/>
        <v>1</v>
      </c>
      <c r="C34">
        <f ca="1">IF(B34=0,"",COUNTIF($B$2:B34,"&gt;0"))</f>
        <v>33</v>
      </c>
      <c r="D34" t="str">
        <f t="shared" ca="1" si="1"/>
        <v>6 Pack of 13 Zinc-Air Battery</v>
      </c>
    </row>
    <row r="35" spans="1:4">
      <c r="A35" s="29" t="s">
        <v>84</v>
      </c>
      <c r="B35">
        <f t="shared" ca="1" si="0"/>
        <v>1</v>
      </c>
      <c r="C35">
        <f ca="1">IF(B35=0,"",COUNTIF($B$2:B35,"&gt;0"))</f>
        <v>34</v>
      </c>
      <c r="D35" t="str">
        <f t="shared" ca="1" si="1"/>
        <v>Collar Cervical Flexo PU</v>
      </c>
    </row>
    <row r="36" spans="1:4">
      <c r="A36" s="3" t="s">
        <v>33</v>
      </c>
      <c r="B36">
        <f t="shared" ca="1" si="0"/>
        <v>1</v>
      </c>
      <c r="C36">
        <f ca="1">IF(B36=0,"",COUNTIF($B$2:B36,"&gt;0"))</f>
        <v>35</v>
      </c>
      <c r="D36" t="str">
        <f t="shared" ca="1" si="1"/>
        <v>Ankle Foot Orthosis(AFO) Size 1</v>
      </c>
    </row>
    <row r="37" spans="1:4">
      <c r="A37" s="29" t="s">
        <v>34</v>
      </c>
      <c r="B37">
        <f t="shared" ca="1" si="0"/>
        <v>1</v>
      </c>
      <c r="C37">
        <f ca="1">IF(B37=0,"",COUNTIF($B$2:B37,"&gt;0"))</f>
        <v>36</v>
      </c>
      <c r="D37" t="str">
        <f t="shared" ca="1" si="1"/>
        <v>Ankle Foot Orthosis(AFO) Size 2</v>
      </c>
    </row>
    <row r="38" spans="1:4">
      <c r="A38" s="3" t="s">
        <v>35</v>
      </c>
      <c r="B38">
        <f t="shared" ca="1" si="0"/>
        <v>1</v>
      </c>
      <c r="C38">
        <f ca="1">IF(B38=0,"",COUNTIF($B$2:B38,"&gt;0"))</f>
        <v>37</v>
      </c>
      <c r="D38" t="str">
        <f t="shared" ca="1" si="1"/>
        <v>Ankle Foot Orthosis(AFO) Size 3</v>
      </c>
    </row>
    <row r="39" spans="1:4">
      <c r="A39" s="29" t="s">
        <v>29</v>
      </c>
      <c r="B39">
        <f t="shared" ca="1" si="0"/>
        <v>1</v>
      </c>
      <c r="C39">
        <f ca="1">IF(B39=0,"",COUNTIF($B$2:B39,"&gt;0"))</f>
        <v>38</v>
      </c>
      <c r="D39" t="str">
        <f t="shared" ca="1" si="1"/>
        <v>B/L Ankle Foot Orthosis(AFO) Size 1</v>
      </c>
    </row>
    <row r="40" spans="1:4">
      <c r="A40" s="3" t="s">
        <v>30</v>
      </c>
      <c r="B40">
        <f t="shared" ca="1" si="0"/>
        <v>1</v>
      </c>
      <c r="C40">
        <f ca="1">IF(B40=0,"",COUNTIF($B$2:B40,"&gt;0"))</f>
        <v>39</v>
      </c>
      <c r="D40" t="str">
        <f t="shared" ca="1" si="1"/>
        <v>B/L Ankle Foot Orthosis(AFO) Size 2</v>
      </c>
    </row>
    <row r="41" spans="1:4">
      <c r="A41" s="29" t="s">
        <v>85</v>
      </c>
      <c r="B41">
        <f t="shared" ca="1" si="0"/>
        <v>1</v>
      </c>
      <c r="C41">
        <f ca="1">IF(B41=0,"",COUNTIF($B$2:B41,"&gt;0"))</f>
        <v>40</v>
      </c>
      <c r="D41" t="str">
        <f t="shared" ca="1" si="1"/>
        <v>B/L Ankle Foot Orthosis (AFO) Size 3</v>
      </c>
    </row>
    <row r="42" spans="1:4">
      <c r="A42" s="3" t="s">
        <v>86</v>
      </c>
      <c r="B42">
        <f t="shared" ca="1" si="0"/>
        <v>1</v>
      </c>
      <c r="C42">
        <f ca="1">IF(B42=0,"",COUNTIF($B$2:B42,"&gt;0"))</f>
        <v>41</v>
      </c>
      <c r="D42" t="str">
        <f t="shared" ca="1" si="1"/>
        <v>Knee Ankle Foot Orthosis (KAFO) w/o Knee Joint</v>
      </c>
    </row>
    <row r="43" spans="1:4">
      <c r="A43" t="s">
        <v>87</v>
      </c>
      <c r="B43">
        <f t="shared" ca="1" si="0"/>
        <v>1</v>
      </c>
      <c r="C43">
        <f ca="1">IF(B43=0,"",COUNTIF($B$2:B43,"&gt;0"))</f>
        <v>42</v>
      </c>
      <c r="D43" t="str">
        <f t="shared" ca="1" si="1"/>
        <v>Knee Ankle Foot Orthosis (KAFO) Size 1</v>
      </c>
    </row>
    <row r="44" spans="1:4">
      <c r="A44" s="3" t="s">
        <v>88</v>
      </c>
      <c r="B44">
        <f t="shared" ca="1" si="0"/>
        <v>1</v>
      </c>
      <c r="C44">
        <f ca="1">IF(B44=0,"",COUNTIF($B$2:B44,"&gt;0"))</f>
        <v>43</v>
      </c>
      <c r="D44" t="str">
        <f t="shared" ca="1" si="1"/>
        <v>Knee Ankle Foot Orthosis (KAFO) Size 2</v>
      </c>
    </row>
    <row r="45" spans="1:4">
      <c r="A45" t="s">
        <v>89</v>
      </c>
      <c r="B45">
        <f t="shared" ca="1" si="0"/>
        <v>1</v>
      </c>
      <c r="C45">
        <f ca="1">IF(B45=0,"",COUNTIF($B$2:B45,"&gt;0"))</f>
        <v>44</v>
      </c>
      <c r="D45" t="str">
        <f t="shared" ca="1" si="1"/>
        <v>Knee Ankle Foot Orthosis (KAFO) Size 3</v>
      </c>
    </row>
    <row r="46" spans="1:4">
      <c r="A46" s="3" t="s">
        <v>90</v>
      </c>
      <c r="B46">
        <f t="shared" ca="1" si="0"/>
        <v>1</v>
      </c>
      <c r="C46">
        <f ca="1">IF(B46=0,"",COUNTIF($B$2:B46,"&gt;0"))</f>
        <v>45</v>
      </c>
      <c r="D46" t="str">
        <f t="shared" ca="1" si="1"/>
        <v xml:space="preserve">B/L Knee Ankle Foot Orthosis (KAFO) w/o Knee Joint </v>
      </c>
    </row>
    <row r="47" spans="1:4">
      <c r="A47" s="29" t="s">
        <v>91</v>
      </c>
      <c r="B47">
        <f t="shared" ca="1" si="0"/>
        <v>1</v>
      </c>
      <c r="C47">
        <f ca="1">IF(B47=0,"",COUNTIF($B$2:B47,"&gt;0"))</f>
        <v>46</v>
      </c>
      <c r="D47" t="str">
        <f t="shared" ca="1" si="1"/>
        <v>B/L Knee Ankle Foot Orthosis (KAFO) Size 1</v>
      </c>
    </row>
    <row r="48" spans="1:4">
      <c r="A48" s="3" t="s">
        <v>92</v>
      </c>
      <c r="B48">
        <f t="shared" ca="1" si="0"/>
        <v>1</v>
      </c>
      <c r="C48">
        <f ca="1">IF(B48=0,"",COUNTIF($B$2:B48,"&gt;0"))</f>
        <v>47</v>
      </c>
      <c r="D48" t="str">
        <f t="shared" ca="1" si="1"/>
        <v>B/L Knee Ankle Foot Orthosis (KAFO) Size 2</v>
      </c>
    </row>
    <row r="49" spans="1:4">
      <c r="A49" s="29" t="s">
        <v>93</v>
      </c>
      <c r="B49">
        <f t="shared" ca="1" si="0"/>
        <v>1</v>
      </c>
      <c r="C49">
        <f ca="1">IF(B49=0,"",COUNTIF($B$2:B49,"&gt;0"))</f>
        <v>48</v>
      </c>
      <c r="D49" t="str">
        <f t="shared" ca="1" si="1"/>
        <v>B/L Knee Ankle Foot Orthosis (KAFO) Size 3</v>
      </c>
    </row>
    <row r="50" spans="1:4">
      <c r="A50" s="3" t="s">
        <v>94</v>
      </c>
      <c r="B50">
        <f t="shared" ca="1" si="0"/>
        <v>1</v>
      </c>
      <c r="C50">
        <f ca="1">IF(B50=0,"",COUNTIF($B$2:B50,"&gt;0"))</f>
        <v>49</v>
      </c>
      <c r="D50" t="str">
        <f t="shared" ca="1" si="1"/>
        <v>Hip Knee Ankle Foot Orthosis (HKAFO) w/o Knee Joint</v>
      </c>
    </row>
    <row r="51" spans="1:4">
      <c r="A51" t="s">
        <v>95</v>
      </c>
      <c r="B51">
        <f t="shared" ca="1" si="0"/>
        <v>1</v>
      </c>
      <c r="C51">
        <f ca="1">IF(B51=0,"",COUNTIF($B$2:B51,"&gt;0"))</f>
        <v>50</v>
      </c>
      <c r="D51" t="str">
        <f t="shared" ca="1" si="1"/>
        <v>Hip Knee Ankle Foot Orthosis (HKAFO) Size 1</v>
      </c>
    </row>
    <row r="52" spans="1:4">
      <c r="A52" s="3" t="s">
        <v>96</v>
      </c>
      <c r="B52">
        <f t="shared" ca="1" si="0"/>
        <v>1</v>
      </c>
      <c r="C52">
        <f ca="1">IF(B52=0,"",COUNTIF($B$2:B52,"&gt;0"))</f>
        <v>51</v>
      </c>
      <c r="D52" t="str">
        <f t="shared" ca="1" si="1"/>
        <v>Hip Knee Ankle Foot Orthosis (HKAFO) Size 2</v>
      </c>
    </row>
    <row r="53" spans="1:4">
      <c r="A53" t="s">
        <v>97</v>
      </c>
      <c r="B53">
        <f t="shared" ca="1" si="0"/>
        <v>1</v>
      </c>
      <c r="C53">
        <f ca="1">IF(B53=0,"",COUNTIF($B$2:B53,"&gt;0"))</f>
        <v>52</v>
      </c>
      <c r="D53" t="str">
        <f t="shared" ca="1" si="1"/>
        <v>Hip Knee Ankle Foot Orthosis (HKAFO) Size 3</v>
      </c>
    </row>
    <row r="54" spans="1:4">
      <c r="A54" s="3" t="s">
        <v>98</v>
      </c>
      <c r="B54">
        <f t="shared" ca="1" si="0"/>
        <v>1</v>
      </c>
      <c r="C54">
        <f ca="1">IF(B54=0,"",COUNTIF($B$2:B54,"&gt;0"))</f>
        <v>53</v>
      </c>
      <c r="D54" t="str">
        <f t="shared" ca="1" si="1"/>
        <v>B/L Hip Knee Ankle Foot Orthosis (HKAFO) w/o Knee Joint</v>
      </c>
    </row>
    <row r="55" spans="1:4">
      <c r="A55" s="29" t="s">
        <v>99</v>
      </c>
      <c r="B55">
        <f t="shared" ca="1" si="0"/>
        <v>1</v>
      </c>
      <c r="C55">
        <f ca="1">IF(B55=0,"",COUNTIF($B$2:B55,"&gt;0"))</f>
        <v>54</v>
      </c>
      <c r="D55" t="str">
        <f t="shared" ca="1" si="1"/>
        <v>B/L Hip Knee Ankle Foot Orthosis (HKAFO) Size 1</v>
      </c>
    </row>
    <row r="56" spans="1:4">
      <c r="A56" s="3" t="s">
        <v>100</v>
      </c>
      <c r="B56">
        <f t="shared" ca="1" si="0"/>
        <v>1</v>
      </c>
      <c r="C56">
        <f ca="1">IF(B56=0,"",COUNTIF($B$2:B56,"&gt;0"))</f>
        <v>55</v>
      </c>
      <c r="D56" t="str">
        <f t="shared" ca="1" si="1"/>
        <v>B/L Hip Knee Ankle Foot Orthosis (HKAFO) Size 2</v>
      </c>
    </row>
    <row r="57" spans="1:4">
      <c r="A57" s="29" t="s">
        <v>101</v>
      </c>
      <c r="B57">
        <f t="shared" ca="1" si="0"/>
        <v>1</v>
      </c>
      <c r="C57">
        <f ca="1">IF(B57=0,"",COUNTIF($B$2:B57,"&gt;0"))</f>
        <v>56</v>
      </c>
      <c r="D57" t="str">
        <f t="shared" ca="1" si="1"/>
        <v>B/L Hip Knee Ankle Foot Orthosis (HKAFO) Size 3</v>
      </c>
    </row>
    <row r="58" spans="1:4">
      <c r="A58" s="3" t="s">
        <v>102</v>
      </c>
      <c r="B58">
        <f t="shared" ca="1" si="0"/>
        <v>1</v>
      </c>
      <c r="C58">
        <f ca="1">IF(B58=0,"",COUNTIF($B$2:B58,"&gt;0"))</f>
        <v>57</v>
      </c>
      <c r="D58" t="str">
        <f t="shared" ca="1" si="1"/>
        <v xml:space="preserve">AFO + KAFO without K Jt. -1 </v>
      </c>
    </row>
    <row r="59" spans="1:4">
      <c r="A59" s="29" t="s">
        <v>103</v>
      </c>
      <c r="B59">
        <f t="shared" ca="1" si="0"/>
        <v>1</v>
      </c>
      <c r="C59">
        <f ca="1">IF(B59=0,"",COUNTIF($B$2:B59,"&gt;0"))</f>
        <v>58</v>
      </c>
      <c r="D59" t="str">
        <f t="shared" ca="1" si="1"/>
        <v>AFO + KAFO (Size-1)</v>
      </c>
    </row>
    <row r="60" spans="1:4">
      <c r="A60" s="3" t="s">
        <v>104</v>
      </c>
      <c r="B60">
        <f t="shared" ca="1" si="0"/>
        <v>1</v>
      </c>
      <c r="C60">
        <f ca="1">IF(B60=0,"",COUNTIF($B$2:B60,"&gt;0"))</f>
        <v>59</v>
      </c>
      <c r="D60" t="str">
        <f t="shared" ca="1" si="1"/>
        <v>AFO + KAFO (Size-2)</v>
      </c>
    </row>
    <row r="61" spans="1:4">
      <c r="A61" s="29" t="s">
        <v>105</v>
      </c>
      <c r="B61">
        <f t="shared" ca="1" si="0"/>
        <v>1</v>
      </c>
      <c r="C61">
        <f ca="1">IF(B61=0,"",COUNTIF($B$2:B61,"&gt;0"))</f>
        <v>60</v>
      </c>
      <c r="D61" t="str">
        <f t="shared" ca="1" si="1"/>
        <v>AFO + KAFO (Size-3)</v>
      </c>
    </row>
    <row r="62" spans="1:4">
      <c r="A62" s="3" t="s">
        <v>106</v>
      </c>
      <c r="B62">
        <f t="shared" ca="1" si="0"/>
        <v>1</v>
      </c>
      <c r="C62">
        <f ca="1">IF(B62=0,"",COUNTIF($B$2:B62,"&gt;0"))</f>
        <v>61</v>
      </c>
      <c r="D62" t="str">
        <f t="shared" ca="1" si="1"/>
        <v>AFO + HKAFO without K Jt. -1</v>
      </c>
    </row>
    <row r="63" spans="1:4">
      <c r="A63" s="29" t="s">
        <v>107</v>
      </c>
      <c r="B63">
        <f t="shared" ca="1" si="0"/>
        <v>1</v>
      </c>
      <c r="C63">
        <f ca="1">IF(B63=0,"",COUNTIF($B$2:B63,"&gt;0"))</f>
        <v>62</v>
      </c>
      <c r="D63" t="str">
        <f t="shared" ca="1" si="1"/>
        <v>AFO + HKAFO (Size-1)</v>
      </c>
    </row>
    <row r="64" spans="1:4">
      <c r="A64" s="3" t="s">
        <v>108</v>
      </c>
      <c r="B64">
        <f t="shared" ca="1" si="0"/>
        <v>1</v>
      </c>
      <c r="C64">
        <f ca="1">IF(B64=0,"",COUNTIF($B$2:B64,"&gt;0"))</f>
        <v>63</v>
      </c>
      <c r="D64" t="str">
        <f t="shared" ca="1" si="1"/>
        <v>AFO + HKAFO (Size-2)</v>
      </c>
    </row>
    <row r="65" spans="1:4">
      <c r="A65" s="29" t="s">
        <v>109</v>
      </c>
      <c r="B65">
        <f t="shared" ca="1" si="0"/>
        <v>1</v>
      </c>
      <c r="C65">
        <f ca="1">IF(B65=0,"",COUNTIF($B$2:B65,"&gt;0"))</f>
        <v>64</v>
      </c>
      <c r="D65" t="str">
        <f t="shared" ca="1" si="1"/>
        <v>AFO + HKAFO (Size-3)</v>
      </c>
    </row>
    <row r="66" spans="1:4">
      <c r="A66" s="3" t="s">
        <v>110</v>
      </c>
      <c r="B66">
        <f t="shared" ca="1" si="0"/>
        <v>1</v>
      </c>
      <c r="C66">
        <f ca="1">IF(B66=0,"",COUNTIF($B$2:B66,"&gt;0"))</f>
        <v>65</v>
      </c>
      <c r="D66" t="str">
        <f t="shared" ca="1" si="1"/>
        <v>KAFO + HKAFO without K Jt. -1</v>
      </c>
    </row>
    <row r="67" spans="1:4">
      <c r="A67" t="s">
        <v>111</v>
      </c>
      <c r="B67">
        <f t="shared" ref="B67:B81" ca="1" si="2">IFERROR(SEARCH(INDIRECT(CELL("address")),A67),0)</f>
        <v>1</v>
      </c>
      <c r="C67">
        <f ca="1">IF(B67=0,"",COUNTIF($B$2:B67,"&gt;0"))</f>
        <v>66</v>
      </c>
      <c r="D67" t="str">
        <f t="shared" ref="D67:D81" ca="1" si="3">IFERROR(INDEX(A:A,MATCH(ROW(B66),C:C,0)),"")</f>
        <v>KAFO + HKAFO (Size-1)</v>
      </c>
    </row>
    <row r="68" spans="1:4">
      <c r="A68" s="3" t="s">
        <v>112</v>
      </c>
      <c r="B68">
        <f t="shared" ca="1" si="2"/>
        <v>1</v>
      </c>
      <c r="C68">
        <f ca="1">IF(B68=0,"",COUNTIF($B$2:B68,"&gt;0"))</f>
        <v>67</v>
      </c>
      <c r="D68" t="str">
        <f t="shared" ca="1" si="3"/>
        <v>KAFO + HKAFO (Size-2)</v>
      </c>
    </row>
    <row r="69" spans="1:4">
      <c r="A69" t="s">
        <v>113</v>
      </c>
      <c r="B69">
        <f t="shared" ca="1" si="2"/>
        <v>1</v>
      </c>
      <c r="C69">
        <f ca="1">IF(B69=0,"",COUNTIF($B$2:B69,"&gt;0"))</f>
        <v>68</v>
      </c>
      <c r="D69" t="str">
        <f t="shared" ca="1" si="3"/>
        <v>KAFO + HKAFO (Size-3)</v>
      </c>
    </row>
    <row r="70" spans="1:4">
      <c r="A70" s="3" t="s">
        <v>114</v>
      </c>
      <c r="B70">
        <f t="shared" ca="1" si="2"/>
        <v>1</v>
      </c>
      <c r="C70">
        <f ca="1">IF(B70=0,"",COUNTIF($B$2:B70,"&gt;0"))</f>
        <v>69</v>
      </c>
      <c r="D70" t="str">
        <f t="shared" ca="1" si="3"/>
        <v>Below Elbow Prosthesis including Cosmetic Glove (Child)</v>
      </c>
    </row>
    <row r="71" spans="1:4">
      <c r="A71" s="29" t="s">
        <v>115</v>
      </c>
      <c r="B71">
        <f t="shared" ca="1" si="2"/>
        <v>1</v>
      </c>
      <c r="C71">
        <f ca="1">IF(B71=0,"",COUNTIF($B$2:B71,"&gt;0"))</f>
        <v>70</v>
      </c>
      <c r="D71" t="str">
        <f t="shared" ca="1" si="3"/>
        <v>Below Elbow Prosthesis including Cosmetic Glove (Adult)</v>
      </c>
    </row>
    <row r="72" spans="1:4">
      <c r="A72" s="3" t="s">
        <v>116</v>
      </c>
      <c r="B72">
        <f t="shared" ca="1" si="2"/>
        <v>1</v>
      </c>
      <c r="C72">
        <f ca="1">IF(B72=0,"",COUNTIF($B$2:B72,"&gt;0"))</f>
        <v>71</v>
      </c>
      <c r="D72" t="str">
        <f t="shared" ca="1" si="3"/>
        <v>Above Elbow Prosthesis including Cosmetic Glove (Child)</v>
      </c>
    </row>
    <row r="73" spans="1:4">
      <c r="A73" s="29" t="s">
        <v>117</v>
      </c>
      <c r="B73">
        <f t="shared" ca="1" si="2"/>
        <v>1</v>
      </c>
      <c r="C73">
        <f ca="1">IF(B73=0,"",COUNTIF($B$2:B73,"&gt;0"))</f>
        <v>72</v>
      </c>
      <c r="D73" t="str">
        <f t="shared" ca="1" si="3"/>
        <v>Above Elbow Prosthesis including Cosmetic Glove (Adult)</v>
      </c>
    </row>
    <row r="74" spans="1:4">
      <c r="A74" s="3" t="s">
        <v>118</v>
      </c>
      <c r="B74">
        <f t="shared" ca="1" si="2"/>
        <v>1</v>
      </c>
      <c r="C74">
        <f ca="1">IF(B74=0,"",COUNTIF($B$2:B74,"&gt;0"))</f>
        <v>73</v>
      </c>
      <c r="D74" t="str">
        <f t="shared" ca="1" si="3"/>
        <v>Below Knee Prosthesis (Child)</v>
      </c>
    </row>
    <row r="75" spans="1:4">
      <c r="A75" s="29" t="s">
        <v>119</v>
      </c>
      <c r="B75">
        <f t="shared" ca="1" si="2"/>
        <v>1</v>
      </c>
      <c r="C75">
        <f ca="1">IF(B75=0,"",COUNTIF($B$2:B75,"&gt;0"))</f>
        <v>74</v>
      </c>
      <c r="D75" t="str">
        <f t="shared" ca="1" si="3"/>
        <v>Below Knee Prosthesis (Medium)</v>
      </c>
    </row>
    <row r="76" spans="1:4">
      <c r="A76" s="3" t="s">
        <v>120</v>
      </c>
      <c r="B76">
        <f t="shared" ca="1" si="2"/>
        <v>1</v>
      </c>
      <c r="C76">
        <f ca="1">IF(B76=0,"",COUNTIF($B$2:B76,"&gt;0"))</f>
        <v>75</v>
      </c>
      <c r="D76" t="str">
        <f t="shared" ca="1" si="3"/>
        <v>Below Knee Prosthesis (Adult)</v>
      </c>
    </row>
    <row r="77" spans="1:4">
      <c r="A77" s="29" t="s">
        <v>121</v>
      </c>
      <c r="B77">
        <f t="shared" ca="1" si="2"/>
        <v>1</v>
      </c>
      <c r="C77">
        <f ca="1">IF(B77=0,"",COUNTIF($B$2:B77,"&gt;0"))</f>
        <v>76</v>
      </c>
      <c r="D77" t="str">
        <f t="shared" ca="1" si="3"/>
        <v>Above Knee Prosthesis (Child)</v>
      </c>
    </row>
    <row r="78" spans="1:4">
      <c r="A78" s="3" t="s">
        <v>122</v>
      </c>
      <c r="B78">
        <f t="shared" ca="1" si="2"/>
        <v>1</v>
      </c>
      <c r="C78">
        <f ca="1">IF(B78=0,"",COUNTIF($B$2:B78,"&gt;0"))</f>
        <v>77</v>
      </c>
      <c r="D78" t="str">
        <f t="shared" ca="1" si="3"/>
        <v>Above Knee Prosthesis (Medium)</v>
      </c>
    </row>
    <row r="79" spans="1:4">
      <c r="A79" s="29" t="s">
        <v>123</v>
      </c>
      <c r="B79">
        <f t="shared" ca="1" si="2"/>
        <v>1</v>
      </c>
      <c r="C79">
        <f ca="1">IF(B79=0,"",COUNTIF($B$2:B79,"&gt;0"))</f>
        <v>78</v>
      </c>
      <c r="D79" t="str">
        <f t="shared" ca="1" si="3"/>
        <v>Above Knee Prosthesis (Adult)</v>
      </c>
    </row>
    <row r="80" spans="1:4">
      <c r="A80" s="3" t="s">
        <v>124</v>
      </c>
      <c r="B80">
        <f t="shared" ca="1" si="2"/>
        <v>1</v>
      </c>
      <c r="C80">
        <f ca="1">IF(B80=0,"",COUNTIF($B$2:B80,"&gt;0"))</f>
        <v>79</v>
      </c>
      <c r="D80" t="str">
        <f t="shared" ca="1" si="3"/>
        <v>B.K. Prosthesis Ottobock</v>
      </c>
    </row>
    <row r="81" spans="1:4">
      <c r="A81" s="29" t="s">
        <v>125</v>
      </c>
      <c r="B81">
        <f t="shared" ca="1" si="2"/>
        <v>1</v>
      </c>
      <c r="C81">
        <f ca="1">IF(B81=0,"",COUNTIF($B$2:B81,"&gt;0"))</f>
        <v>80</v>
      </c>
      <c r="D81" t="str">
        <f t="shared" ca="1" si="3"/>
        <v>A.K. Prosthesis Ottobock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81"/>
  <sheetViews>
    <sheetView workbookViewId="0">
      <selection activeCell="F3" sqref="F3"/>
    </sheetView>
  </sheetViews>
  <sheetFormatPr defaultRowHeight="15"/>
  <cols>
    <col min="1" max="1" width="58.42578125" customWidth="1"/>
    <col min="2" max="2" width="15.85546875" customWidth="1"/>
    <col min="3" max="3" width="11.7109375" customWidth="1"/>
    <col min="4" max="4" width="44.7109375" customWidth="1"/>
    <col min="5" max="5" width="39.7109375" customWidth="1"/>
    <col min="6" max="6" width="41.7109375" customWidth="1"/>
  </cols>
  <sheetData>
    <row r="1" spans="1:6">
      <c r="A1" s="28" t="s">
        <v>1</v>
      </c>
      <c r="B1" t="s">
        <v>158</v>
      </c>
    </row>
    <row r="2" spans="1:6">
      <c r="A2" s="3" t="s">
        <v>3</v>
      </c>
      <c r="B2">
        <f>IF(ISNUMBER(SEARCH($F$2,Table43[[#This Row],[Product Name]])),MAX($B$1:B1)+1,0)</f>
        <v>0</v>
      </c>
      <c r="D2" t="str">
        <f>IFERROR(INDEX(Table43[Product Name],MATCH(ROW(D1),Table6[Working],0)),"")</f>
        <v>Crutch Elbow Adjustable(Aluminium) Size 2</v>
      </c>
      <c r="E2" t="str">
        <f ca="1">OFFSET($D$2,,,MAX(Table6[Working]))</f>
        <v>Crutch Elbow Adjustable(Aluminium) Size 2</v>
      </c>
      <c r="F2" t="s">
        <v>133</v>
      </c>
    </row>
    <row r="3" spans="1:6">
      <c r="A3" s="4" t="s">
        <v>5</v>
      </c>
      <c r="B3">
        <f>IF(ISNUMBER(SEARCH($F$2,Table43[[#This Row],[Product Name]])),MAX($B$1:B2)+1,0)</f>
        <v>0</v>
      </c>
      <c r="D3" t="str">
        <f>IFERROR(INDEX(Table43[Product Name],MATCH(ROW(D2),Table6[Working],0)),"")</f>
        <v/>
      </c>
    </row>
    <row r="4" spans="1:6">
      <c r="A4" s="3" t="s">
        <v>7</v>
      </c>
      <c r="B4">
        <f>IF(ISNUMBER(SEARCH($F$2,Table43[[#This Row],[Product Name]])),MAX($B$1:B3)+1,0)</f>
        <v>0</v>
      </c>
      <c r="D4" t="str">
        <f>IFERROR(INDEX(Table43[Product Name],MATCH(ROW(D3),Table6[Working],0)),"")</f>
        <v/>
      </c>
    </row>
    <row r="5" spans="1:6">
      <c r="A5" s="4" t="s">
        <v>9</v>
      </c>
      <c r="B5">
        <f>IF(ISNUMBER(SEARCH($F$2,Table43[[#This Row],[Product Name]])),MAX($B$1:B4)+1,0)</f>
        <v>0</v>
      </c>
      <c r="D5" t="str">
        <f>IFERROR(INDEX(Table43[Product Name],MATCH(ROW(D4),Table6[Working],0)),"")</f>
        <v/>
      </c>
    </row>
    <row r="6" spans="1:6">
      <c r="A6" s="3" t="s">
        <v>11</v>
      </c>
      <c r="B6">
        <f>IF(ISNUMBER(SEARCH($F$2,Table43[[#This Row],[Product Name]])),MAX($B$1:B5)+1,0)</f>
        <v>0</v>
      </c>
      <c r="D6" t="str">
        <f>IFERROR(INDEX(Table43[Product Name],MATCH(ROW(D5),Table6[Working],0)),"")</f>
        <v/>
      </c>
    </row>
    <row r="7" spans="1:6">
      <c r="A7" s="4" t="s">
        <v>132</v>
      </c>
      <c r="B7">
        <f>IF(ISNUMBER(SEARCH($F$2,Table43[[#This Row],[Product Name]])),MAX($B$1:B6)+1,0)</f>
        <v>0</v>
      </c>
      <c r="D7" t="str">
        <f>IFERROR(INDEX(Table43[Product Name],MATCH(ROW(D6),Table6[Working],0)),"")</f>
        <v/>
      </c>
    </row>
    <row r="8" spans="1:6">
      <c r="A8" s="3" t="s">
        <v>133</v>
      </c>
      <c r="B8">
        <f>IF(ISNUMBER(SEARCH($F$2,Table43[[#This Row],[Product Name]])),MAX($B$1:B7)+1,0)</f>
        <v>1</v>
      </c>
      <c r="D8" t="str">
        <f>IFERROR(INDEX(Table43[Product Name],MATCH(ROW(D7),Table6[Working],0)),"")</f>
        <v/>
      </c>
    </row>
    <row r="9" spans="1:6">
      <c r="A9" s="4" t="s">
        <v>134</v>
      </c>
      <c r="B9">
        <f>IF(ISNUMBER(SEARCH($F$2,Table43[[#This Row],[Product Name]])),MAX($B$1:B8)+1,0)</f>
        <v>0</v>
      </c>
      <c r="D9" t="str">
        <f>IFERROR(INDEX(Table43[Product Name],MATCH(ROW(D8),Table6[Working],0)),"")</f>
        <v/>
      </c>
    </row>
    <row r="10" spans="1:6">
      <c r="A10" s="3" t="s">
        <v>135</v>
      </c>
      <c r="B10">
        <f>IF(ISNUMBER(SEARCH($F$2,Table43[[#This Row],[Product Name]])),MAX($B$1:B9)+1,0)</f>
        <v>0</v>
      </c>
      <c r="D10" t="str">
        <f>IFERROR(INDEX(Table43[Product Name],MATCH(ROW(D9),Table6[Working],0)),"")</f>
        <v/>
      </c>
    </row>
    <row r="11" spans="1:6">
      <c r="A11" s="4" t="s">
        <v>136</v>
      </c>
      <c r="B11">
        <f>IF(ISNUMBER(SEARCH($F$2,Table43[[#This Row],[Product Name]])),MAX($B$1:B10)+1,0)</f>
        <v>0</v>
      </c>
      <c r="D11" t="str">
        <f>IFERROR(INDEX(Table43[Product Name],MATCH(ROW(D10),Table6[Working],0)),"")</f>
        <v/>
      </c>
    </row>
    <row r="12" spans="1:6">
      <c r="A12" s="3" t="s">
        <v>137</v>
      </c>
      <c r="B12">
        <f>IF(ISNUMBER(SEARCH($F$2,Table43[[#This Row],[Product Name]])),MAX($B$1:B11)+1,0)</f>
        <v>0</v>
      </c>
      <c r="D12" t="str">
        <f>IFERROR(INDEX(Table43[Product Name],MATCH(ROW(D11),Table6[Working],0)),"")</f>
        <v/>
      </c>
    </row>
    <row r="13" spans="1:6">
      <c r="A13" s="4" t="s">
        <v>64</v>
      </c>
      <c r="B13">
        <f>IF(ISNUMBER(SEARCH($F$2,Table43[[#This Row],[Product Name]])),MAX($B$1:B12)+1,0)</f>
        <v>0</v>
      </c>
      <c r="D13" t="str">
        <f>IFERROR(INDEX(Table43[Product Name],MATCH(ROW(D12),Table6[Working],0)),"")</f>
        <v/>
      </c>
    </row>
    <row r="14" spans="1:6">
      <c r="A14" s="3" t="s">
        <v>65</v>
      </c>
      <c r="B14">
        <f>IF(ISNUMBER(SEARCH($F$2,Table43[[#This Row],[Product Name]])),MAX($B$1:B13)+1,0)</f>
        <v>0</v>
      </c>
      <c r="D14" t="str">
        <f>IFERROR(INDEX(Table43[Product Name],MATCH(ROW(D13),Table6[Working],0)),"")</f>
        <v/>
      </c>
    </row>
    <row r="15" spans="1:6">
      <c r="A15" s="4" t="s">
        <v>66</v>
      </c>
      <c r="B15">
        <f>IF(ISNUMBER(SEARCH($F$2,Table43[[#This Row],[Product Name]])),MAX($B$1:B14)+1,0)</f>
        <v>0</v>
      </c>
      <c r="D15" t="str">
        <f>IFERROR(INDEX(Table43[Product Name],MATCH(ROW(D14),Table6[Working],0)),"")</f>
        <v/>
      </c>
    </row>
    <row r="16" spans="1:6">
      <c r="A16" s="3" t="s">
        <v>67</v>
      </c>
      <c r="B16">
        <f>IF(ISNUMBER(SEARCH($F$2,Table43[[#This Row],[Product Name]])),MAX($B$1:B15)+1,0)</f>
        <v>0</v>
      </c>
      <c r="D16" t="str">
        <f>IFERROR(INDEX(Table43[Product Name],MATCH(ROW(D15),Table6[Working],0)),"")</f>
        <v/>
      </c>
    </row>
    <row r="17" spans="1:4">
      <c r="A17" s="4" t="s">
        <v>68</v>
      </c>
      <c r="B17">
        <f>IF(ISNUMBER(SEARCH($F$2,Table43[[#This Row],[Product Name]])),MAX($B$1:B16)+1,0)</f>
        <v>0</v>
      </c>
      <c r="D17" t="str">
        <f>IFERROR(INDEX(Table43[Product Name],MATCH(ROW(D16),Table6[Working],0)),"")</f>
        <v/>
      </c>
    </row>
    <row r="18" spans="1:4">
      <c r="A18" s="3" t="s">
        <v>69</v>
      </c>
      <c r="B18">
        <f>IF(ISNUMBER(SEARCH($F$2,Table43[[#This Row],[Product Name]])),MAX($B$1:B17)+1,0)</f>
        <v>0</v>
      </c>
      <c r="D18" t="str">
        <f>IFERROR(INDEX(Table43[Product Name],MATCH(ROW(D17),Table6[Working],0)),"")</f>
        <v/>
      </c>
    </row>
    <row r="19" spans="1:4">
      <c r="A19" s="4" t="s">
        <v>70</v>
      </c>
      <c r="B19">
        <f>IF(ISNUMBER(SEARCH($F$2,Table43[[#This Row],[Product Name]])),MAX($B$1:B18)+1,0)</f>
        <v>0</v>
      </c>
      <c r="D19" t="str">
        <f>IFERROR(INDEX(Table43[Product Name],MATCH(ROW(D18),Table6[Working],0)),"")</f>
        <v/>
      </c>
    </row>
    <row r="20" spans="1:4">
      <c r="A20" s="3" t="s">
        <v>71</v>
      </c>
      <c r="B20">
        <f>IF(ISNUMBER(SEARCH($F$2,Table43[[#This Row],[Product Name]])),MAX($B$1:B19)+1,0)</f>
        <v>0</v>
      </c>
      <c r="D20" t="str">
        <f>IFERROR(INDEX(Table43[Product Name],MATCH(ROW(D19),Table6[Working],0)),"")</f>
        <v/>
      </c>
    </row>
    <row r="21" spans="1:4">
      <c r="A21" s="4" t="s">
        <v>72</v>
      </c>
      <c r="B21">
        <f>IF(ISNUMBER(SEARCH($F$2,Table43[[#This Row],[Product Name]])),MAX($B$1:B20)+1,0)</f>
        <v>0</v>
      </c>
      <c r="D21" t="str">
        <f>IFERROR(INDEX(Table43[Product Name],MATCH(ROW(D20),Table6[Working],0)),"")</f>
        <v/>
      </c>
    </row>
    <row r="22" spans="1:4">
      <c r="A22" s="3" t="s">
        <v>73</v>
      </c>
      <c r="B22">
        <f>IF(ISNUMBER(SEARCH($F$2,Table43[[#This Row],[Product Name]])),MAX($B$1:B21)+1,0)</f>
        <v>0</v>
      </c>
      <c r="D22" t="str">
        <f>IFERROR(INDEX(Table43[Product Name],MATCH(ROW(D21),Table6[Working],0)),"")</f>
        <v/>
      </c>
    </row>
    <row r="23" spans="1:4">
      <c r="A23" s="4" t="s">
        <v>74</v>
      </c>
      <c r="B23">
        <f>IF(ISNUMBER(SEARCH($F$2,Table43[[#This Row],[Product Name]])),MAX($B$1:B22)+1,0)</f>
        <v>0</v>
      </c>
      <c r="D23" t="str">
        <f>IFERROR(INDEX(Table43[Product Name],MATCH(ROW(D22),Table6[Working],0)),"")</f>
        <v/>
      </c>
    </row>
    <row r="24" spans="1:4">
      <c r="A24" s="3" t="s">
        <v>75</v>
      </c>
      <c r="B24">
        <f>IF(ISNUMBER(SEARCH($F$2,Table43[[#This Row],[Product Name]])),MAX($B$1:B23)+1,0)</f>
        <v>0</v>
      </c>
      <c r="D24" t="str">
        <f>IFERROR(INDEX(Table43[Product Name],MATCH(ROW(D23),Table6[Working],0)),"")</f>
        <v/>
      </c>
    </row>
    <row r="25" spans="1:4">
      <c r="A25" s="4" t="s">
        <v>76</v>
      </c>
      <c r="B25">
        <f>IF(ISNUMBER(SEARCH($F$2,Table43[[#This Row],[Product Name]])),MAX($B$1:B24)+1,0)</f>
        <v>0</v>
      </c>
      <c r="D25" t="str">
        <f>IFERROR(INDEX(Table43[Product Name],MATCH(ROW(D24),Table6[Working],0)),"")</f>
        <v/>
      </c>
    </row>
    <row r="26" spans="1:4">
      <c r="A26" s="3" t="s">
        <v>77</v>
      </c>
      <c r="B26">
        <f>IF(ISNUMBER(SEARCH($F$2,Table43[[#This Row],[Product Name]])),MAX($B$1:B25)+1,0)</f>
        <v>0</v>
      </c>
      <c r="D26" t="str">
        <f>IFERROR(INDEX(Table43[Product Name],MATCH(ROW(D25),Table6[Working],0)),"")</f>
        <v/>
      </c>
    </row>
    <row r="27" spans="1:4">
      <c r="A27" s="4" t="s">
        <v>78</v>
      </c>
      <c r="B27">
        <f>IF(ISNUMBER(SEARCH($F$2,Table43[[#This Row],[Product Name]])),MAX($B$1:B26)+1,0)</f>
        <v>0</v>
      </c>
      <c r="D27" t="str">
        <f>IFERROR(INDEX(Table43[Product Name],MATCH(ROW(D26),Table6[Working],0)),"")</f>
        <v/>
      </c>
    </row>
    <row r="28" spans="1:4">
      <c r="A28" s="3" t="s">
        <v>79</v>
      </c>
      <c r="B28">
        <f>IF(ISNUMBER(SEARCH($F$2,Table43[[#This Row],[Product Name]])),MAX($B$1:B27)+1,0)</f>
        <v>0</v>
      </c>
      <c r="D28" t="str">
        <f>IFERROR(INDEX(Table43[Product Name],MATCH(ROW(D27),Table6[Working],0)),"")</f>
        <v/>
      </c>
    </row>
    <row r="29" spans="1:4">
      <c r="A29" s="4" t="s">
        <v>80</v>
      </c>
      <c r="B29">
        <f>IF(ISNUMBER(SEARCH($F$2,Table43[[#This Row],[Product Name]])),MAX($B$1:B28)+1,0)</f>
        <v>0</v>
      </c>
      <c r="D29" t="str">
        <f>IFERROR(INDEX(Table43[Product Name],MATCH(ROW(D28),Table6[Working],0)),"")</f>
        <v/>
      </c>
    </row>
    <row r="30" spans="1:4">
      <c r="A30" s="3" t="s">
        <v>81</v>
      </c>
      <c r="B30">
        <f>IF(ISNUMBER(SEARCH($F$2,Table43[[#This Row],[Product Name]])),MAX($B$1:B29)+1,0)</f>
        <v>0</v>
      </c>
      <c r="D30" t="str">
        <f>IFERROR(INDEX(Table43[Product Name],MATCH(ROW(D29),Table6[Working],0)),"")</f>
        <v/>
      </c>
    </row>
    <row r="31" spans="1:4">
      <c r="A31" s="4" t="s">
        <v>82</v>
      </c>
      <c r="B31">
        <f>IF(ISNUMBER(SEARCH($F$2,Table43[[#This Row],[Product Name]])),MAX($B$1:B30)+1,0)</f>
        <v>0</v>
      </c>
      <c r="D31" t="str">
        <f>IFERROR(INDEX(Table43[Product Name],MATCH(ROW(D30),Table6[Working],0)),"")</f>
        <v/>
      </c>
    </row>
    <row r="32" spans="1:4">
      <c r="A32" s="3" t="s">
        <v>129</v>
      </c>
      <c r="B32">
        <f>IF(ISNUMBER(SEARCH($F$2,Table43[[#This Row],[Product Name]])),MAX($B$1:B31)+1,0)</f>
        <v>0</v>
      </c>
      <c r="D32" t="str">
        <f>IFERROR(INDEX(Table43[Product Name],MATCH(ROW(D31),Table6[Working],0)),"")</f>
        <v/>
      </c>
    </row>
    <row r="33" spans="1:4">
      <c r="A33" s="4" t="s">
        <v>130</v>
      </c>
      <c r="B33">
        <f>IF(ISNUMBER(SEARCH($F$2,Table43[[#This Row],[Product Name]])),MAX($B$1:B32)+1,0)</f>
        <v>0</v>
      </c>
      <c r="D33" t="str">
        <f>IFERROR(INDEX(Table43[Product Name],MATCH(ROW(D32),Table6[Working],0)),"")</f>
        <v/>
      </c>
    </row>
    <row r="34" spans="1:4">
      <c r="A34" s="3" t="s">
        <v>83</v>
      </c>
      <c r="B34">
        <f>IF(ISNUMBER(SEARCH($F$2,Table43[[#This Row],[Product Name]])),MAX($B$1:B33)+1,0)</f>
        <v>0</v>
      </c>
      <c r="D34" t="str">
        <f>IFERROR(INDEX(Table43[Product Name],MATCH(ROW(D33),Table6[Working],0)),"")</f>
        <v/>
      </c>
    </row>
    <row r="35" spans="1:4">
      <c r="A35" s="29" t="s">
        <v>84</v>
      </c>
      <c r="B35">
        <f>IF(ISNUMBER(SEARCH($F$2,Table43[[#This Row],[Product Name]])),MAX($B$1:B34)+1,0)</f>
        <v>0</v>
      </c>
      <c r="D35" t="str">
        <f>IFERROR(INDEX(Table43[Product Name],MATCH(ROW(D34),Table6[Working],0)),"")</f>
        <v/>
      </c>
    </row>
    <row r="36" spans="1:4">
      <c r="A36" s="3" t="s">
        <v>33</v>
      </c>
      <c r="B36">
        <f>IF(ISNUMBER(SEARCH($F$2,Table43[[#This Row],[Product Name]])),MAX($B$1:B35)+1,0)</f>
        <v>0</v>
      </c>
      <c r="D36" t="str">
        <f>IFERROR(INDEX(Table43[Product Name],MATCH(ROW(D35),Table6[Working],0)),"")</f>
        <v/>
      </c>
    </row>
    <row r="37" spans="1:4">
      <c r="A37" s="29" t="s">
        <v>34</v>
      </c>
      <c r="B37">
        <f>IF(ISNUMBER(SEARCH($F$2,Table43[[#This Row],[Product Name]])),MAX($B$1:B36)+1,0)</f>
        <v>0</v>
      </c>
      <c r="D37" t="str">
        <f>IFERROR(INDEX(Table43[Product Name],MATCH(ROW(D36),Table6[Working],0)),"")</f>
        <v/>
      </c>
    </row>
    <row r="38" spans="1:4">
      <c r="A38" s="3" t="s">
        <v>35</v>
      </c>
      <c r="B38">
        <f>IF(ISNUMBER(SEARCH($F$2,Table43[[#This Row],[Product Name]])),MAX($B$1:B37)+1,0)</f>
        <v>0</v>
      </c>
      <c r="D38" t="str">
        <f>IFERROR(INDEX(Table43[Product Name],MATCH(ROW(D37),Table6[Working],0)),"")</f>
        <v/>
      </c>
    </row>
    <row r="39" spans="1:4">
      <c r="A39" s="29" t="s">
        <v>29</v>
      </c>
      <c r="B39">
        <f>IF(ISNUMBER(SEARCH($F$2,Table43[[#This Row],[Product Name]])),MAX($B$1:B38)+1,0)</f>
        <v>0</v>
      </c>
      <c r="D39" t="str">
        <f>IFERROR(INDEX(Table43[Product Name],MATCH(ROW(D38),Table6[Working],0)),"")</f>
        <v/>
      </c>
    </row>
    <row r="40" spans="1:4">
      <c r="A40" s="3" t="s">
        <v>30</v>
      </c>
      <c r="B40">
        <f>IF(ISNUMBER(SEARCH($F$2,Table43[[#This Row],[Product Name]])),MAX($B$1:B39)+1,0)</f>
        <v>0</v>
      </c>
      <c r="D40" t="str">
        <f>IFERROR(INDEX(Table43[Product Name],MATCH(ROW(D39),Table6[Working],0)),"")</f>
        <v/>
      </c>
    </row>
    <row r="41" spans="1:4">
      <c r="A41" s="29" t="s">
        <v>85</v>
      </c>
      <c r="B41">
        <f>IF(ISNUMBER(SEARCH($F$2,Table43[[#This Row],[Product Name]])),MAX($B$1:B40)+1,0)</f>
        <v>0</v>
      </c>
      <c r="D41" t="str">
        <f>IFERROR(INDEX(Table43[Product Name],MATCH(ROW(D40),Table6[Working],0)),"")</f>
        <v/>
      </c>
    </row>
    <row r="42" spans="1:4">
      <c r="A42" s="3" t="s">
        <v>86</v>
      </c>
      <c r="B42">
        <f>IF(ISNUMBER(SEARCH($F$2,Table43[[#This Row],[Product Name]])),MAX($B$1:B41)+1,0)</f>
        <v>0</v>
      </c>
      <c r="D42" t="str">
        <f>IFERROR(INDEX(Table43[Product Name],MATCH(ROW(D41),Table6[Working],0)),"")</f>
        <v/>
      </c>
    </row>
    <row r="43" spans="1:4">
      <c r="A43" t="s">
        <v>87</v>
      </c>
      <c r="B43">
        <f>IF(ISNUMBER(SEARCH($F$2,Table43[[#This Row],[Product Name]])),MAX($B$1:B42)+1,0)</f>
        <v>0</v>
      </c>
      <c r="D43" t="str">
        <f>IFERROR(INDEX(Table43[Product Name],MATCH(ROW(D42),Table6[Working],0)),"")</f>
        <v/>
      </c>
    </row>
    <row r="44" spans="1:4">
      <c r="A44" s="3" t="s">
        <v>88</v>
      </c>
      <c r="B44">
        <f>IF(ISNUMBER(SEARCH($F$2,Table43[[#This Row],[Product Name]])),MAX($B$1:B43)+1,0)</f>
        <v>0</v>
      </c>
      <c r="D44" t="str">
        <f>IFERROR(INDEX(Table43[Product Name],MATCH(ROW(D43),Table6[Working],0)),"")</f>
        <v/>
      </c>
    </row>
    <row r="45" spans="1:4">
      <c r="A45" t="s">
        <v>89</v>
      </c>
      <c r="B45">
        <f>IF(ISNUMBER(SEARCH($F$2,Table43[[#This Row],[Product Name]])),MAX($B$1:B44)+1,0)</f>
        <v>0</v>
      </c>
      <c r="D45" t="str">
        <f>IFERROR(INDEX(Table43[Product Name],MATCH(ROW(D44),Table6[Working],0)),"")</f>
        <v/>
      </c>
    </row>
    <row r="46" spans="1:4">
      <c r="A46" s="3" t="s">
        <v>90</v>
      </c>
      <c r="B46">
        <f>IF(ISNUMBER(SEARCH($F$2,Table43[[#This Row],[Product Name]])),MAX($B$1:B45)+1,0)</f>
        <v>0</v>
      </c>
      <c r="D46" t="str">
        <f>IFERROR(INDEX(Table43[Product Name],MATCH(ROW(D45),Table6[Working],0)),"")</f>
        <v/>
      </c>
    </row>
    <row r="47" spans="1:4">
      <c r="A47" s="29" t="s">
        <v>91</v>
      </c>
      <c r="B47">
        <f>IF(ISNUMBER(SEARCH($F$2,Table43[[#This Row],[Product Name]])),MAX($B$1:B46)+1,0)</f>
        <v>0</v>
      </c>
      <c r="D47" t="str">
        <f>IFERROR(INDEX(Table43[Product Name],MATCH(ROW(D46),Table6[Working],0)),"")</f>
        <v/>
      </c>
    </row>
    <row r="48" spans="1:4">
      <c r="A48" s="3" t="s">
        <v>92</v>
      </c>
      <c r="B48">
        <f>IF(ISNUMBER(SEARCH($F$2,Table43[[#This Row],[Product Name]])),MAX($B$1:B47)+1,0)</f>
        <v>0</v>
      </c>
      <c r="D48" t="str">
        <f>IFERROR(INDEX(Table43[Product Name],MATCH(ROW(D47),Table6[Working],0)),"")</f>
        <v/>
      </c>
    </row>
    <row r="49" spans="1:4">
      <c r="A49" s="29" t="s">
        <v>93</v>
      </c>
      <c r="B49">
        <f>IF(ISNUMBER(SEARCH($F$2,Table43[[#This Row],[Product Name]])),MAX($B$1:B48)+1,0)</f>
        <v>0</v>
      </c>
      <c r="D49" t="str">
        <f>IFERROR(INDEX(Table43[Product Name],MATCH(ROW(D48),Table6[Working],0)),"")</f>
        <v/>
      </c>
    </row>
    <row r="50" spans="1:4">
      <c r="A50" s="3" t="s">
        <v>94</v>
      </c>
      <c r="B50">
        <f>IF(ISNUMBER(SEARCH($F$2,Table43[[#This Row],[Product Name]])),MAX($B$1:B49)+1,0)</f>
        <v>0</v>
      </c>
      <c r="D50" t="str">
        <f>IFERROR(INDEX(Table43[Product Name],MATCH(ROW(D49),Table6[Working],0)),"")</f>
        <v/>
      </c>
    </row>
    <row r="51" spans="1:4">
      <c r="A51" t="s">
        <v>95</v>
      </c>
      <c r="B51">
        <f>IF(ISNUMBER(SEARCH($F$2,Table43[[#This Row],[Product Name]])),MAX($B$1:B50)+1,0)</f>
        <v>0</v>
      </c>
      <c r="D51" t="str">
        <f>IFERROR(INDEX(Table43[Product Name],MATCH(ROW(D50),Table6[Working],0)),"")</f>
        <v/>
      </c>
    </row>
    <row r="52" spans="1:4">
      <c r="A52" s="3" t="s">
        <v>96</v>
      </c>
      <c r="B52">
        <f>IF(ISNUMBER(SEARCH($F$2,Table43[[#This Row],[Product Name]])),MAX($B$1:B51)+1,0)</f>
        <v>0</v>
      </c>
      <c r="D52" t="str">
        <f>IFERROR(INDEX(Table43[Product Name],MATCH(ROW(D51),Table6[Working],0)),"")</f>
        <v/>
      </c>
    </row>
    <row r="53" spans="1:4">
      <c r="A53" t="s">
        <v>97</v>
      </c>
      <c r="B53">
        <f>IF(ISNUMBER(SEARCH($F$2,Table43[[#This Row],[Product Name]])),MAX($B$1:B52)+1,0)</f>
        <v>0</v>
      </c>
      <c r="D53" t="str">
        <f>IFERROR(INDEX(Table43[Product Name],MATCH(ROW(D52),Table6[Working],0)),"")</f>
        <v/>
      </c>
    </row>
    <row r="54" spans="1:4">
      <c r="A54" s="3" t="s">
        <v>98</v>
      </c>
      <c r="B54">
        <f>IF(ISNUMBER(SEARCH($F$2,Table43[[#This Row],[Product Name]])),MAX($B$1:B53)+1,0)</f>
        <v>0</v>
      </c>
      <c r="D54" t="str">
        <f>IFERROR(INDEX(Table43[Product Name],MATCH(ROW(D53),Table6[Working],0)),"")</f>
        <v/>
      </c>
    </row>
    <row r="55" spans="1:4">
      <c r="A55" s="29" t="s">
        <v>99</v>
      </c>
      <c r="B55">
        <f>IF(ISNUMBER(SEARCH($F$2,Table43[[#This Row],[Product Name]])),MAX($B$1:B54)+1,0)</f>
        <v>0</v>
      </c>
      <c r="D55" t="str">
        <f>IFERROR(INDEX(Table43[Product Name],MATCH(ROW(D54),Table6[Working],0)),"")</f>
        <v/>
      </c>
    </row>
    <row r="56" spans="1:4">
      <c r="A56" s="3" t="s">
        <v>100</v>
      </c>
      <c r="B56">
        <f>IF(ISNUMBER(SEARCH($F$2,Table43[[#This Row],[Product Name]])),MAX($B$1:B55)+1,0)</f>
        <v>0</v>
      </c>
      <c r="D56" t="str">
        <f>IFERROR(INDEX(Table43[Product Name],MATCH(ROW(D55),Table6[Working],0)),"")</f>
        <v/>
      </c>
    </row>
    <row r="57" spans="1:4">
      <c r="A57" s="29" t="s">
        <v>101</v>
      </c>
      <c r="B57">
        <f>IF(ISNUMBER(SEARCH($F$2,Table43[[#This Row],[Product Name]])),MAX($B$1:B56)+1,0)</f>
        <v>0</v>
      </c>
      <c r="D57" t="str">
        <f>IFERROR(INDEX(Table43[Product Name],MATCH(ROW(D56),Table6[Working],0)),"")</f>
        <v/>
      </c>
    </row>
    <row r="58" spans="1:4">
      <c r="A58" s="3" t="s">
        <v>102</v>
      </c>
      <c r="B58">
        <f>IF(ISNUMBER(SEARCH($F$2,Table43[[#This Row],[Product Name]])),MAX($B$1:B57)+1,0)</f>
        <v>0</v>
      </c>
      <c r="D58" t="str">
        <f>IFERROR(INDEX(Table43[Product Name],MATCH(ROW(D57),Table6[Working],0)),"")</f>
        <v/>
      </c>
    </row>
    <row r="59" spans="1:4">
      <c r="A59" s="29" t="s">
        <v>103</v>
      </c>
      <c r="B59">
        <f>IF(ISNUMBER(SEARCH($F$2,Table43[[#This Row],[Product Name]])),MAX($B$1:B58)+1,0)</f>
        <v>0</v>
      </c>
      <c r="D59" t="str">
        <f>IFERROR(INDEX(Table43[Product Name],MATCH(ROW(D58),Table6[Working],0)),"")</f>
        <v/>
      </c>
    </row>
    <row r="60" spans="1:4">
      <c r="A60" s="3" t="s">
        <v>104</v>
      </c>
      <c r="B60">
        <f>IF(ISNUMBER(SEARCH($F$2,Table43[[#This Row],[Product Name]])),MAX($B$1:B59)+1,0)</f>
        <v>0</v>
      </c>
      <c r="D60" t="str">
        <f>IFERROR(INDEX(Table43[Product Name],MATCH(ROW(D59),Table6[Working],0)),"")</f>
        <v/>
      </c>
    </row>
    <row r="61" spans="1:4">
      <c r="A61" s="29" t="s">
        <v>105</v>
      </c>
      <c r="B61">
        <f>IF(ISNUMBER(SEARCH($F$2,Table43[[#This Row],[Product Name]])),MAX($B$1:B60)+1,0)</f>
        <v>0</v>
      </c>
      <c r="D61" t="str">
        <f>IFERROR(INDEX(Table43[Product Name],MATCH(ROW(D60),Table6[Working],0)),"")</f>
        <v/>
      </c>
    </row>
    <row r="62" spans="1:4">
      <c r="A62" s="3" t="s">
        <v>106</v>
      </c>
      <c r="B62">
        <f>IF(ISNUMBER(SEARCH($F$2,Table43[[#This Row],[Product Name]])),MAX($B$1:B61)+1,0)</f>
        <v>0</v>
      </c>
      <c r="D62" t="str">
        <f>IFERROR(INDEX(Table43[Product Name],MATCH(ROW(D61),Table6[Working],0)),"")</f>
        <v/>
      </c>
    </row>
    <row r="63" spans="1:4">
      <c r="A63" s="29" t="s">
        <v>107</v>
      </c>
      <c r="B63">
        <f>IF(ISNUMBER(SEARCH($F$2,Table43[[#This Row],[Product Name]])),MAX($B$1:B62)+1,0)</f>
        <v>0</v>
      </c>
      <c r="D63" t="str">
        <f>IFERROR(INDEX(Table43[Product Name],MATCH(ROW(D62),Table6[Working],0)),"")</f>
        <v/>
      </c>
    </row>
    <row r="64" spans="1:4">
      <c r="A64" s="3" t="s">
        <v>108</v>
      </c>
      <c r="B64">
        <f>IF(ISNUMBER(SEARCH($F$2,Table43[[#This Row],[Product Name]])),MAX($B$1:B63)+1,0)</f>
        <v>0</v>
      </c>
      <c r="D64" t="str">
        <f>IFERROR(INDEX(Table43[Product Name],MATCH(ROW(D63),Table6[Working],0)),"")</f>
        <v/>
      </c>
    </row>
    <row r="65" spans="1:4">
      <c r="A65" s="29" t="s">
        <v>109</v>
      </c>
      <c r="B65">
        <f>IF(ISNUMBER(SEARCH($F$2,Table43[[#This Row],[Product Name]])),MAX($B$1:B64)+1,0)</f>
        <v>0</v>
      </c>
      <c r="D65" t="str">
        <f>IFERROR(INDEX(Table43[Product Name],MATCH(ROW(D64),Table6[Working],0)),"")</f>
        <v/>
      </c>
    </row>
    <row r="66" spans="1:4">
      <c r="A66" s="3" t="s">
        <v>110</v>
      </c>
      <c r="B66">
        <f>IF(ISNUMBER(SEARCH($F$2,Table43[[#This Row],[Product Name]])),MAX($B$1:B65)+1,0)</f>
        <v>0</v>
      </c>
      <c r="D66" t="str">
        <f>IFERROR(INDEX(Table43[Product Name],MATCH(ROW(D65),Table6[Working],0)),"")</f>
        <v/>
      </c>
    </row>
    <row r="67" spans="1:4">
      <c r="A67" t="s">
        <v>111</v>
      </c>
      <c r="B67">
        <f>IF(ISNUMBER(SEARCH($F$2,Table43[[#This Row],[Product Name]])),MAX($B$1:B66)+1,0)</f>
        <v>0</v>
      </c>
      <c r="D67" t="str">
        <f>IFERROR(INDEX(Table43[Product Name],MATCH(ROW(D66),Table6[Working],0)),"")</f>
        <v/>
      </c>
    </row>
    <row r="68" spans="1:4">
      <c r="A68" s="3" t="s">
        <v>112</v>
      </c>
      <c r="B68">
        <f>IF(ISNUMBER(SEARCH($F$2,Table43[[#This Row],[Product Name]])),MAX($B$1:B67)+1,0)</f>
        <v>0</v>
      </c>
      <c r="D68" t="str">
        <f>IFERROR(INDEX(Table43[Product Name],MATCH(ROW(D67),Table6[Working],0)),"")</f>
        <v/>
      </c>
    </row>
    <row r="69" spans="1:4">
      <c r="A69" t="s">
        <v>113</v>
      </c>
      <c r="B69">
        <f>IF(ISNUMBER(SEARCH($F$2,Table43[[#This Row],[Product Name]])),MAX($B$1:B68)+1,0)</f>
        <v>0</v>
      </c>
      <c r="D69" t="str">
        <f>IFERROR(INDEX(Table43[Product Name],MATCH(ROW(D68),Table6[Working],0)),"")</f>
        <v/>
      </c>
    </row>
    <row r="70" spans="1:4">
      <c r="A70" s="3" t="s">
        <v>114</v>
      </c>
      <c r="B70">
        <f>IF(ISNUMBER(SEARCH($F$2,Table43[[#This Row],[Product Name]])),MAX($B$1:B69)+1,0)</f>
        <v>0</v>
      </c>
      <c r="D70" t="str">
        <f>IFERROR(INDEX(Table43[Product Name],MATCH(ROW(D69),Table6[Working],0)),"")</f>
        <v/>
      </c>
    </row>
    <row r="71" spans="1:4">
      <c r="A71" s="29" t="s">
        <v>115</v>
      </c>
      <c r="B71">
        <f>IF(ISNUMBER(SEARCH($F$2,Table43[[#This Row],[Product Name]])),MAX($B$1:B70)+1,0)</f>
        <v>0</v>
      </c>
      <c r="D71" t="str">
        <f>IFERROR(INDEX(Table43[Product Name],MATCH(ROW(D70),Table6[Working],0)),"")</f>
        <v/>
      </c>
    </row>
    <row r="72" spans="1:4">
      <c r="A72" s="3" t="s">
        <v>116</v>
      </c>
      <c r="B72">
        <f>IF(ISNUMBER(SEARCH($F$2,Table43[[#This Row],[Product Name]])),MAX($B$1:B71)+1,0)</f>
        <v>0</v>
      </c>
      <c r="D72" t="str">
        <f>IFERROR(INDEX(Table43[Product Name],MATCH(ROW(D71),Table6[Working],0)),"")</f>
        <v/>
      </c>
    </row>
    <row r="73" spans="1:4">
      <c r="A73" s="29" t="s">
        <v>117</v>
      </c>
      <c r="B73">
        <f>IF(ISNUMBER(SEARCH($F$2,Table43[[#This Row],[Product Name]])),MAX($B$1:B72)+1,0)</f>
        <v>0</v>
      </c>
      <c r="D73" t="str">
        <f>IFERROR(INDEX(Table43[Product Name],MATCH(ROW(D72),Table6[Working],0)),"")</f>
        <v/>
      </c>
    </row>
    <row r="74" spans="1:4">
      <c r="A74" s="3" t="s">
        <v>118</v>
      </c>
      <c r="B74">
        <f>IF(ISNUMBER(SEARCH($F$2,Table43[[#This Row],[Product Name]])),MAX($B$1:B73)+1,0)</f>
        <v>0</v>
      </c>
      <c r="D74" t="str">
        <f>IFERROR(INDEX(Table43[Product Name],MATCH(ROW(D73),Table6[Working],0)),"")</f>
        <v/>
      </c>
    </row>
    <row r="75" spans="1:4">
      <c r="A75" s="29" t="s">
        <v>119</v>
      </c>
      <c r="B75">
        <f>IF(ISNUMBER(SEARCH($F$2,Table43[[#This Row],[Product Name]])),MAX($B$1:B74)+1,0)</f>
        <v>0</v>
      </c>
      <c r="D75" t="str">
        <f>IFERROR(INDEX(Table43[Product Name],MATCH(ROW(D74),Table6[Working],0)),"")</f>
        <v/>
      </c>
    </row>
    <row r="76" spans="1:4">
      <c r="A76" s="3" t="s">
        <v>120</v>
      </c>
      <c r="B76">
        <f>IF(ISNUMBER(SEARCH($F$2,Table43[[#This Row],[Product Name]])),MAX($B$1:B75)+1,0)</f>
        <v>0</v>
      </c>
      <c r="D76" t="str">
        <f>IFERROR(INDEX(Table43[Product Name],MATCH(ROW(D75),Table6[Working],0)),"")</f>
        <v/>
      </c>
    </row>
    <row r="77" spans="1:4">
      <c r="A77" s="29" t="s">
        <v>121</v>
      </c>
      <c r="B77">
        <f>IF(ISNUMBER(SEARCH($F$2,Table43[[#This Row],[Product Name]])),MAX($B$1:B76)+1,0)</f>
        <v>0</v>
      </c>
      <c r="D77" t="str">
        <f>IFERROR(INDEX(Table43[Product Name],MATCH(ROW(D76),Table6[Working],0)),"")</f>
        <v/>
      </c>
    </row>
    <row r="78" spans="1:4">
      <c r="A78" s="3" t="s">
        <v>122</v>
      </c>
      <c r="B78">
        <f>IF(ISNUMBER(SEARCH($F$2,Table43[[#This Row],[Product Name]])),MAX($B$1:B77)+1,0)</f>
        <v>0</v>
      </c>
      <c r="D78" t="str">
        <f>IFERROR(INDEX(Table43[Product Name],MATCH(ROW(D77),Table6[Working],0)),"")</f>
        <v/>
      </c>
    </row>
    <row r="79" spans="1:4">
      <c r="A79" s="29" t="s">
        <v>123</v>
      </c>
      <c r="B79">
        <f>IF(ISNUMBER(SEARCH($F$2,Table43[[#This Row],[Product Name]])),MAX($B$1:B78)+1,0)</f>
        <v>0</v>
      </c>
      <c r="D79" t="str">
        <f>IFERROR(INDEX(Table43[Product Name],MATCH(ROW(D78),Table6[Working],0)),"")</f>
        <v/>
      </c>
    </row>
    <row r="80" spans="1:4">
      <c r="A80" s="3" t="s">
        <v>124</v>
      </c>
      <c r="B80">
        <f>IF(ISNUMBER(SEARCH($F$2,Table43[[#This Row],[Product Name]])),MAX($B$1:B79)+1,0)</f>
        <v>0</v>
      </c>
      <c r="D80" t="str">
        <f>IFERROR(INDEX(Table43[Product Name],MATCH(ROW(D79),Table6[Working],0)),"")</f>
        <v/>
      </c>
    </row>
    <row r="81" spans="1:4">
      <c r="A81" s="29" t="s">
        <v>125</v>
      </c>
      <c r="B81">
        <f>IF(ISNUMBER(SEARCH($F$2,Table43[[#This Row],[Product Name]])),MAX($B$1:B80)+1,0)</f>
        <v>0</v>
      </c>
      <c r="D81" t="str">
        <f>IFERROR(INDEX(Table43[Product Name],MATCH(ROW(D80),Table6[Working],0)),"")</f>
        <v/>
      </c>
    </row>
  </sheetData>
  <dataValidations count="1">
    <dataValidation type="list" allowBlank="1" showInputMessage="1" sqref="F2:F19">
      <formula1>ALIMCO</formula1>
    </dataValidation>
  </dataValidation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4D9B0D-00A5-426F-9784-536984D4CB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Sheet1</vt:lpstr>
      <vt:lpstr>Sheet2</vt:lpstr>
      <vt:lpstr>Sheet3</vt:lpstr>
      <vt:lpstr>Sheet4</vt:lpstr>
      <vt:lpstr>Sheet5</vt:lpstr>
      <vt:lpstr>Address</vt:lpstr>
      <vt:lpstr>Age</vt:lpstr>
      <vt:lpstr>Beneficiary_Name</vt:lpstr>
      <vt:lpstr>Caste</vt:lpstr>
      <vt:lpstr>DOA</vt:lpstr>
      <vt:lpstr>Sheet2!Extract</vt:lpstr>
      <vt:lpstr>Father_Husband_Name</vt:lpstr>
      <vt:lpstr>Gender</vt:lpstr>
      <vt:lpstr>main</vt:lpstr>
      <vt:lpstr>master</vt:lpstr>
      <vt:lpstr>Net_Amount</vt:lpstr>
      <vt:lpstr>NOB_Product_Wise</vt:lpstr>
      <vt:lpstr>Percentage_of__disability</vt:lpstr>
      <vt:lpstr>Product_Code</vt:lpstr>
      <vt:lpstr>Product_Name</vt:lpstr>
      <vt:lpstr>QTY</vt:lpstr>
      <vt:lpstr>Qty_NOA</vt:lpstr>
      <vt:lpstr>Rate_FAB</vt:lpstr>
      <vt:lpstr>Rate_RTU</vt:lpstr>
      <vt:lpstr>rtu</vt:lpstr>
      <vt:lpstr>Type_of_Disability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dhanu</dc:creator>
  <cp:lastModifiedBy>HP</cp:lastModifiedBy>
  <cp:lastPrinted>2020-05-29T08:28:30Z</cp:lastPrinted>
  <dcterms:created xsi:type="dcterms:W3CDTF">2019-11-24T10:10:06Z</dcterms:created>
  <dcterms:modified xsi:type="dcterms:W3CDTF">2020-07-11T12:11:18Z</dcterms:modified>
</cp:coreProperties>
</file>